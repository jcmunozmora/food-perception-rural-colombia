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/>
  <mc:AlternateContent xmlns:mc="http://schemas.openxmlformats.org/markup-compatibility/2006">
    <mc:Choice Requires="x15">
      <x15ac:absPath xmlns:x15ac="http://schemas.microsoft.com/office/spreadsheetml/2010/11/ac" url="https://eafit.sharepoint.com/sites/PercepcionesdietaenAntioquia/Documentos compartidos/General/Análisis de la información/"/>
    </mc:Choice>
  </mc:AlternateContent>
  <xr:revisionPtr revIDLastSave="789" documentId="11_E779E1FF88B9BCF1C033F63B7ACFF9726E5DEFE9" xr6:coauthVersionLast="47" xr6:coauthVersionMax="47" xr10:uidLastSave="{188640E2-E03A-564F-9E9C-A20BC093A918}"/>
  <bookViews>
    <workbookView xWindow="0" yWindow="500" windowWidth="33600" windowHeight="20500" xr2:uid="{00000000-000D-0000-FFFF-FFFF00000000}"/>
  </bookViews>
  <sheets>
    <sheet name="Información Sociodemográfia" sheetId="1" r:id="rId1"/>
    <sheet name="Organizada" sheetId="3" r:id="rId2"/>
    <sheet name="Puntaje Dietas - Barrer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H3" i="3" a="1"/>
  <c r="H3" i="3"/>
  <c r="H4" i="3" a="1"/>
  <c r="H4" i="3"/>
  <c r="H5" i="3" a="1"/>
  <c r="H5" i="3"/>
  <c r="H6" i="3" a="1"/>
  <c r="H6" i="3"/>
  <c r="H7" i="3" a="1"/>
  <c r="H7" i="3"/>
  <c r="H8" i="3" a="1"/>
  <c r="H8" i="3"/>
  <c r="H9" i="3" a="1"/>
  <c r="H9" i="3"/>
  <c r="H10" i="3" a="1"/>
  <c r="H10" i="3"/>
  <c r="H11" i="3" a="1"/>
  <c r="H11" i="3"/>
  <c r="H12" i="3" a="1"/>
  <c r="H12" i="3"/>
  <c r="H13" i="3" a="1"/>
  <c r="H13" i="3"/>
  <c r="H14" i="3" a="1"/>
  <c r="H14" i="3"/>
  <c r="H15" i="3" a="1"/>
  <c r="H15" i="3"/>
  <c r="H16" i="3" a="1"/>
  <c r="H16" i="3"/>
  <c r="H17" i="3" a="1"/>
  <c r="H17" i="3"/>
  <c r="H18" i="3" a="1"/>
  <c r="H18" i="3"/>
  <c r="H19" i="3" a="1"/>
  <c r="H19" i="3"/>
  <c r="H20" i="3" a="1"/>
  <c r="H20" i="3"/>
  <c r="H21" i="3" a="1"/>
  <c r="H21" i="3"/>
  <c r="H22" i="3" a="1"/>
  <c r="H22" i="3"/>
  <c r="H23" i="3" a="1"/>
  <c r="H23" i="3"/>
  <c r="H24" i="3" a="1"/>
  <c r="H24" i="3"/>
  <c r="H25" i="3" a="1"/>
  <c r="H25" i="3"/>
  <c r="H26" i="3" a="1"/>
  <c r="H26" i="3"/>
  <c r="H27" i="3" a="1"/>
  <c r="H27" i="3"/>
  <c r="H28" i="3" a="1"/>
  <c r="H28" i="3"/>
  <c r="H29" i="3" a="1"/>
  <c r="H29" i="3"/>
  <c r="H30" i="3" a="1"/>
  <c r="H30" i="3"/>
  <c r="H31" i="3" a="1"/>
  <c r="H31" i="3"/>
  <c r="H32" i="3" a="1"/>
  <c r="H32" i="3"/>
  <c r="H33" i="3" a="1"/>
  <c r="H33" i="3"/>
  <c r="H34" i="3" a="1"/>
  <c r="H34" i="3"/>
  <c r="H35" i="3" a="1"/>
  <c r="H35" i="3"/>
  <c r="H36" i="3" a="1"/>
  <c r="H36" i="3"/>
  <c r="H37" i="3" a="1"/>
  <c r="H37" i="3"/>
  <c r="H38" i="3" a="1"/>
  <c r="H38" i="3"/>
  <c r="H39" i="3" a="1"/>
  <c r="H39" i="3"/>
  <c r="H40" i="3" a="1"/>
  <c r="H40" i="3"/>
  <c r="H41" i="3" a="1"/>
  <c r="H41" i="3"/>
  <c r="H42" i="3" a="1"/>
  <c r="H42" i="3"/>
  <c r="H2" i="3" a="1"/>
  <c r="H2" i="3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S5" i="1"/>
  <c r="S6" i="1" s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S7" i="1" l="1"/>
  <c r="S8" i="1" s="1"/>
  <c r="S9" i="1" s="1"/>
  <c r="S10" i="1" s="1"/>
  <c r="S11" i="1" s="1"/>
  <c r="S12" i="1" s="1"/>
  <c r="S13" i="1" s="1"/>
  <c r="S14" i="1" s="1"/>
  <c r="S15" i="1" s="1"/>
  <c r="S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<sst xmlns="http://schemas.openxmlformats.org/spreadsheetml/2006/main" count="603" uniqueCount="69">
  <si>
    <t>Medellín</t>
  </si>
  <si>
    <t>Santa Rosa</t>
  </si>
  <si>
    <t>Guarne</t>
  </si>
  <si>
    <t>#</t>
  </si>
  <si>
    <t>Género</t>
  </si>
  <si>
    <t>Edad</t>
  </si>
  <si>
    <t>Ocupación</t>
  </si>
  <si>
    <t>Estado Civil</t>
  </si>
  <si>
    <t>Estrato</t>
  </si>
  <si>
    <t>Nivel de educación</t>
  </si>
  <si>
    <t>M</t>
  </si>
  <si>
    <t>Diseñador</t>
  </si>
  <si>
    <t>Soltero</t>
  </si>
  <si>
    <t>Universitario</t>
  </si>
  <si>
    <t>F</t>
  </si>
  <si>
    <t>Ama de casa</t>
  </si>
  <si>
    <t>Casado</t>
  </si>
  <si>
    <t>Bachiller</t>
  </si>
  <si>
    <t>Agricultor  independiente</t>
  </si>
  <si>
    <t>Primaria</t>
  </si>
  <si>
    <t>Administrador</t>
  </si>
  <si>
    <t>Separado</t>
  </si>
  <si>
    <t>Union Libre</t>
  </si>
  <si>
    <t>Empleado</t>
  </si>
  <si>
    <t>Tecnico</t>
  </si>
  <si>
    <t>Independiente</t>
  </si>
  <si>
    <t>Unión libre</t>
  </si>
  <si>
    <t>Apoyo unidad productiva</t>
  </si>
  <si>
    <t>Soltera</t>
  </si>
  <si>
    <t>Tecnologa</t>
  </si>
  <si>
    <t>Funcionario Publico</t>
  </si>
  <si>
    <t xml:space="preserve">Profesional </t>
  </si>
  <si>
    <t>Productor</t>
  </si>
  <si>
    <t>Cyber seguridad</t>
  </si>
  <si>
    <t>PhD</t>
  </si>
  <si>
    <t>Especialización</t>
  </si>
  <si>
    <t>Agricultor</t>
  </si>
  <si>
    <t xml:space="preserve">Tecnico </t>
  </si>
  <si>
    <t>Bachiller/Tecnico</t>
  </si>
  <si>
    <t>Serparado</t>
  </si>
  <si>
    <t>Empleada</t>
  </si>
  <si>
    <t>Tesorero</t>
  </si>
  <si>
    <t>Estudiante</t>
  </si>
  <si>
    <t>Secretaria</t>
  </si>
  <si>
    <t>Profesional</t>
  </si>
  <si>
    <t>Coordinadora</t>
  </si>
  <si>
    <t>Trabajador</t>
  </si>
  <si>
    <t>Empresaria</t>
  </si>
  <si>
    <t>Sujetos de estudio, Valle de Aburrá</t>
  </si>
  <si>
    <t>Sujetos de estudio, Norte de Antioquia</t>
  </si>
  <si>
    <t>Sujetos de estudio, Oriente de Antioquia</t>
  </si>
  <si>
    <t xml:space="preserve">Grupo </t>
  </si>
  <si>
    <t>Adultos jovenes
(19 - 30)</t>
  </si>
  <si>
    <t>Femenino</t>
  </si>
  <si>
    <t>Masculino</t>
  </si>
  <si>
    <t>Técnico</t>
  </si>
  <si>
    <t>Adultos jovenes
(31 - 50)</t>
  </si>
  <si>
    <t>Adultos mayores
(+51)</t>
  </si>
  <si>
    <t>No aplica</t>
  </si>
  <si>
    <t>ID</t>
  </si>
  <si>
    <t>Area</t>
  </si>
  <si>
    <t>Medellin</t>
  </si>
  <si>
    <t>Masc/Fem</t>
  </si>
  <si>
    <t>Genero</t>
  </si>
  <si>
    <t>Ocupacion</t>
  </si>
  <si>
    <t>Estado civil</t>
  </si>
  <si>
    <t>Nivel universitario</t>
  </si>
  <si>
    <t> 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</si>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</sst>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000000"/>
      <name val="Aptos Narrow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36"/>
  <sheetViews>
    <sheetView tabSelected="1" topLeftCell="Q13" zoomScale="150" zoomScaleNormal="150" workbookViewId="0">
      <selection activeCell="S20" sqref="S20:Y35"/>
    </sheetView>
  </sheetViews>
  <sheetFormatPr baseColWidth="10" defaultColWidth="8.83203125" defaultRowHeight="15" x14ac:dyDescent="0.2"/>
  <cols>
    <col min="3" max="4" width="13.6640625" customWidth="1"/>
    <col min="6" max="6" width="17.83203125" customWidth="1"/>
    <col min="7" max="7" width="12.83203125" customWidth="1"/>
    <col min="9" max="9" width="18.33203125" customWidth="1"/>
    <col min="14" max="14" width="22.6640625" bestFit="1" customWidth="1"/>
    <col min="15" max="15" width="10.33203125" bestFit="1" customWidth="1"/>
    <col min="17" max="17" width="15.5" bestFit="1" customWidth="1"/>
    <col min="22" max="22" width="23" bestFit="1" customWidth="1"/>
    <col min="23" max="23" width="10.33203125" bestFit="1" customWidth="1"/>
    <col min="25" max="25" width="19.1640625" customWidth="1"/>
  </cols>
  <sheetData>
    <row r="1" spans="3:25" ht="16" thickBot="1" x14ac:dyDescent="0.25"/>
    <row r="2" spans="3:25" ht="23" thickBot="1" x14ac:dyDescent="0.35">
      <c r="C2" s="22" t="s">
        <v>0</v>
      </c>
      <c r="D2" s="23"/>
      <c r="E2" s="23"/>
      <c r="F2" s="23"/>
      <c r="G2" s="23"/>
      <c r="H2" s="23"/>
      <c r="I2" s="24"/>
      <c r="K2" s="22" t="s">
        <v>1</v>
      </c>
      <c r="L2" s="23"/>
      <c r="M2" s="23"/>
      <c r="N2" s="23"/>
      <c r="O2" s="23"/>
      <c r="P2" s="23"/>
      <c r="Q2" s="24"/>
      <c r="S2" s="22" t="s">
        <v>2</v>
      </c>
      <c r="T2" s="23"/>
      <c r="U2" s="23"/>
      <c r="V2" s="23"/>
      <c r="W2" s="23"/>
      <c r="X2" s="23"/>
      <c r="Y2" s="24"/>
    </row>
    <row r="3" spans="3:25" x14ac:dyDescent="0.2"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K3" s="2" t="s">
        <v>3</v>
      </c>
      <c r="L3" s="2" t="s">
        <v>4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9</v>
      </c>
      <c r="S3" s="2" t="s">
        <v>3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2" t="s">
        <v>9</v>
      </c>
    </row>
    <row r="4" spans="3:25" x14ac:dyDescent="0.2">
      <c r="C4" s="1">
        <v>1</v>
      </c>
      <c r="D4" s="1" t="s">
        <v>10</v>
      </c>
      <c r="E4" s="1">
        <v>58</v>
      </c>
      <c r="F4" s="1" t="s">
        <v>11</v>
      </c>
      <c r="G4" s="1" t="s">
        <v>12</v>
      </c>
      <c r="H4" s="1">
        <v>4</v>
      </c>
      <c r="I4" s="1" t="s">
        <v>13</v>
      </c>
      <c r="K4" s="1">
        <v>1</v>
      </c>
      <c r="L4" s="1" t="s">
        <v>14</v>
      </c>
      <c r="M4" s="1">
        <v>30</v>
      </c>
      <c r="N4" s="1" t="s">
        <v>15</v>
      </c>
      <c r="O4" s="1" t="s">
        <v>16</v>
      </c>
      <c r="P4" s="1">
        <v>1</v>
      </c>
      <c r="Q4" s="1" t="s">
        <v>17</v>
      </c>
      <c r="S4" s="1">
        <v>1</v>
      </c>
      <c r="T4" s="1" t="s">
        <v>10</v>
      </c>
      <c r="U4" s="1">
        <v>68</v>
      </c>
      <c r="V4" s="1" t="s">
        <v>18</v>
      </c>
      <c r="W4" s="1" t="s">
        <v>16</v>
      </c>
      <c r="X4" s="1">
        <v>3</v>
      </c>
      <c r="Y4" s="1" t="s">
        <v>19</v>
      </c>
    </row>
    <row r="5" spans="3:25" x14ac:dyDescent="0.2">
      <c r="C5" s="1">
        <f>C4+1</f>
        <v>2</v>
      </c>
      <c r="D5" s="1" t="s">
        <v>14</v>
      </c>
      <c r="E5" s="1">
        <v>53</v>
      </c>
      <c r="F5" s="1" t="s">
        <v>20</v>
      </c>
      <c r="G5" s="1" t="s">
        <v>21</v>
      </c>
      <c r="H5" s="1">
        <v>4</v>
      </c>
      <c r="I5" s="1" t="s">
        <v>13</v>
      </c>
      <c r="K5" s="1">
        <f>K4+1</f>
        <v>2</v>
      </c>
      <c r="L5" s="1" t="s">
        <v>14</v>
      </c>
      <c r="M5" s="1">
        <v>22</v>
      </c>
      <c r="N5" s="1" t="s">
        <v>15</v>
      </c>
      <c r="O5" s="1" t="s">
        <v>22</v>
      </c>
      <c r="P5" s="1">
        <v>1</v>
      </c>
      <c r="Q5" s="1" t="s">
        <v>17</v>
      </c>
      <c r="S5" s="1">
        <f>S4+1</f>
        <v>2</v>
      </c>
      <c r="T5" s="1" t="s">
        <v>10</v>
      </c>
      <c r="U5" s="1">
        <v>23</v>
      </c>
      <c r="V5" s="1" t="s">
        <v>23</v>
      </c>
      <c r="W5" s="1" t="s">
        <v>12</v>
      </c>
      <c r="X5" s="1">
        <v>2</v>
      </c>
      <c r="Y5" s="1" t="s">
        <v>24</v>
      </c>
    </row>
    <row r="6" spans="3:25" x14ac:dyDescent="0.2">
      <c r="C6" s="1">
        <f t="shared" ref="C6:C17" si="0">C5+1</f>
        <v>3</v>
      </c>
      <c r="D6" s="1" t="s">
        <v>14</v>
      </c>
      <c r="E6" s="1">
        <v>37</v>
      </c>
      <c r="F6" s="1" t="s">
        <v>25</v>
      </c>
      <c r="G6" s="1" t="s">
        <v>26</v>
      </c>
      <c r="H6" s="1">
        <v>3</v>
      </c>
      <c r="I6" s="1" t="s">
        <v>13</v>
      </c>
      <c r="K6" s="1">
        <f t="shared" ref="K6:K17" si="1">K5+1</f>
        <v>3</v>
      </c>
      <c r="L6" s="1" t="s">
        <v>14</v>
      </c>
      <c r="M6" s="1">
        <v>45</v>
      </c>
      <c r="N6" s="1" t="s">
        <v>27</v>
      </c>
      <c r="O6" s="1" t="s">
        <v>28</v>
      </c>
      <c r="P6" s="1">
        <v>2</v>
      </c>
      <c r="Q6" s="1" t="s">
        <v>29</v>
      </c>
      <c r="S6" s="1">
        <f t="shared" ref="S6:S16" si="2">S5+1</f>
        <v>3</v>
      </c>
      <c r="T6" s="1" t="s">
        <v>14</v>
      </c>
      <c r="U6" s="1">
        <v>33</v>
      </c>
      <c r="V6" s="1" t="s">
        <v>30</v>
      </c>
      <c r="W6" s="1" t="s">
        <v>12</v>
      </c>
      <c r="X6" s="1">
        <v>3</v>
      </c>
      <c r="Y6" s="1" t="s">
        <v>31</v>
      </c>
    </row>
    <row r="7" spans="3:25" x14ac:dyDescent="0.2">
      <c r="C7" s="1">
        <f t="shared" si="0"/>
        <v>4</v>
      </c>
      <c r="D7" s="1" t="s">
        <v>10</v>
      </c>
      <c r="E7" s="1">
        <v>53</v>
      </c>
      <c r="F7" s="1" t="s">
        <v>25</v>
      </c>
      <c r="G7" s="1" t="s">
        <v>16</v>
      </c>
      <c r="H7" s="1">
        <v>3</v>
      </c>
      <c r="I7" s="1" t="s">
        <v>13</v>
      </c>
      <c r="K7" s="1">
        <f t="shared" si="1"/>
        <v>4</v>
      </c>
      <c r="L7" s="1" t="s">
        <v>14</v>
      </c>
      <c r="M7" s="1">
        <v>23</v>
      </c>
      <c r="N7" s="1" t="s">
        <v>15</v>
      </c>
      <c r="O7" s="1" t="s">
        <v>22</v>
      </c>
      <c r="P7" s="1">
        <v>1</v>
      </c>
      <c r="Q7" s="1" t="s">
        <v>17</v>
      </c>
      <c r="S7" s="1">
        <f>S6+1</f>
        <v>4</v>
      </c>
      <c r="T7" s="1" t="s">
        <v>14</v>
      </c>
      <c r="U7" s="1">
        <v>65</v>
      </c>
      <c r="V7" s="1" t="s">
        <v>32</v>
      </c>
      <c r="W7" s="1" t="s">
        <v>12</v>
      </c>
      <c r="X7" s="1">
        <v>3</v>
      </c>
      <c r="Y7" s="1" t="s">
        <v>31</v>
      </c>
    </row>
    <row r="8" spans="3:25" x14ac:dyDescent="0.2">
      <c r="C8" s="1">
        <f t="shared" si="0"/>
        <v>5</v>
      </c>
      <c r="D8" s="1" t="s">
        <v>10</v>
      </c>
      <c r="E8" s="1">
        <v>30</v>
      </c>
      <c r="F8" s="1" t="s">
        <v>33</v>
      </c>
      <c r="G8" s="1" t="s">
        <v>12</v>
      </c>
      <c r="H8" s="1">
        <v>4</v>
      </c>
      <c r="I8" s="1" t="s">
        <v>34</v>
      </c>
      <c r="K8" s="1">
        <f t="shared" si="1"/>
        <v>5</v>
      </c>
      <c r="L8" s="1" t="s">
        <v>14</v>
      </c>
      <c r="M8" s="1">
        <v>42</v>
      </c>
      <c r="N8" s="1" t="s">
        <v>25</v>
      </c>
      <c r="O8" s="1" t="s">
        <v>16</v>
      </c>
      <c r="P8" s="1">
        <v>5</v>
      </c>
      <c r="Q8" s="1" t="s">
        <v>35</v>
      </c>
      <c r="S8" s="1">
        <f t="shared" si="2"/>
        <v>5</v>
      </c>
      <c r="T8" s="1" t="s">
        <v>14</v>
      </c>
      <c r="U8" s="1">
        <v>59</v>
      </c>
      <c r="V8" s="1" t="s">
        <v>36</v>
      </c>
      <c r="W8" s="1" t="s">
        <v>16</v>
      </c>
      <c r="X8" s="1">
        <v>2</v>
      </c>
      <c r="Y8" s="1" t="s">
        <v>31</v>
      </c>
    </row>
    <row r="9" spans="3:25" x14ac:dyDescent="0.2">
      <c r="C9" s="1">
        <f t="shared" si="0"/>
        <v>6</v>
      </c>
      <c r="D9" s="1" t="s">
        <v>14</v>
      </c>
      <c r="E9" s="1">
        <v>40</v>
      </c>
      <c r="F9" s="1" t="s">
        <v>25</v>
      </c>
      <c r="G9" s="1" t="s">
        <v>12</v>
      </c>
      <c r="H9" s="1">
        <v>2</v>
      </c>
      <c r="I9" s="1" t="s">
        <v>37</v>
      </c>
      <c r="K9" s="1">
        <f t="shared" si="1"/>
        <v>6</v>
      </c>
      <c r="L9" s="1" t="s">
        <v>14</v>
      </c>
      <c r="M9" s="1">
        <v>40</v>
      </c>
      <c r="N9" s="1" t="s">
        <v>15</v>
      </c>
      <c r="O9" s="1" t="s">
        <v>12</v>
      </c>
      <c r="P9" s="1">
        <v>1</v>
      </c>
      <c r="Q9" s="1" t="s">
        <v>38</v>
      </c>
      <c r="S9" s="1">
        <f t="shared" si="2"/>
        <v>6</v>
      </c>
      <c r="T9" s="1" t="s">
        <v>14</v>
      </c>
      <c r="U9" s="1">
        <v>51</v>
      </c>
      <c r="V9" s="1" t="s">
        <v>32</v>
      </c>
      <c r="W9" s="1" t="s">
        <v>39</v>
      </c>
      <c r="X9" s="1">
        <v>2</v>
      </c>
      <c r="Y9" s="1" t="s">
        <v>35</v>
      </c>
    </row>
    <row r="10" spans="3:25" x14ac:dyDescent="0.2">
      <c r="C10" s="1">
        <f t="shared" si="0"/>
        <v>7</v>
      </c>
      <c r="D10" s="1" t="s">
        <v>10</v>
      </c>
      <c r="E10" s="1">
        <v>30</v>
      </c>
      <c r="F10" s="1" t="s">
        <v>40</v>
      </c>
      <c r="G10" s="1" t="s">
        <v>12</v>
      </c>
      <c r="H10" s="1">
        <v>3</v>
      </c>
      <c r="I10" s="1" t="s">
        <v>31</v>
      </c>
      <c r="K10" s="1">
        <f t="shared" si="1"/>
        <v>7</v>
      </c>
      <c r="L10" s="1" t="s">
        <v>10</v>
      </c>
      <c r="M10" s="1">
        <v>21</v>
      </c>
      <c r="N10" s="1" t="s">
        <v>25</v>
      </c>
      <c r="O10" s="1" t="s">
        <v>12</v>
      </c>
      <c r="P10" s="1">
        <v>3</v>
      </c>
      <c r="Q10" s="1" t="s">
        <v>17</v>
      </c>
      <c r="S10" s="1">
        <f t="shared" si="2"/>
        <v>7</v>
      </c>
      <c r="T10" s="1" t="s">
        <v>10</v>
      </c>
      <c r="U10" s="1">
        <v>75</v>
      </c>
      <c r="V10" s="1" t="s">
        <v>41</v>
      </c>
      <c r="W10" s="1" t="s">
        <v>16</v>
      </c>
      <c r="X10" s="1">
        <v>3</v>
      </c>
      <c r="Y10" s="1"/>
    </row>
    <row r="11" spans="3:25" x14ac:dyDescent="0.2">
      <c r="C11" s="1">
        <f t="shared" si="0"/>
        <v>8</v>
      </c>
      <c r="D11" s="1" t="s">
        <v>14</v>
      </c>
      <c r="E11" s="1">
        <v>24</v>
      </c>
      <c r="F11" s="1" t="s">
        <v>42</v>
      </c>
      <c r="G11" s="1" t="s">
        <v>12</v>
      </c>
      <c r="H11" s="1">
        <v>5</v>
      </c>
      <c r="I11" s="1" t="s">
        <v>31</v>
      </c>
      <c r="K11" s="1">
        <f t="shared" si="1"/>
        <v>8</v>
      </c>
      <c r="L11" s="1" t="s">
        <v>14</v>
      </c>
      <c r="M11" s="1">
        <v>22</v>
      </c>
      <c r="N11" s="1" t="s">
        <v>25</v>
      </c>
      <c r="O11" s="1" t="s">
        <v>22</v>
      </c>
      <c r="P11" s="1">
        <v>1</v>
      </c>
      <c r="Q11" s="1" t="s">
        <v>17</v>
      </c>
      <c r="S11" s="1">
        <f t="shared" si="2"/>
        <v>8</v>
      </c>
      <c r="T11" s="1" t="s">
        <v>10</v>
      </c>
      <c r="U11" s="1">
        <v>32</v>
      </c>
      <c r="V11" s="1" t="s">
        <v>25</v>
      </c>
      <c r="W11" s="1" t="s">
        <v>16</v>
      </c>
      <c r="X11" s="1">
        <v>3</v>
      </c>
      <c r="Y11" s="1" t="s">
        <v>17</v>
      </c>
    </row>
    <row r="12" spans="3:25" x14ac:dyDescent="0.2">
      <c r="C12" s="1">
        <f t="shared" si="0"/>
        <v>9</v>
      </c>
      <c r="D12" s="1" t="s">
        <v>14</v>
      </c>
      <c r="E12" s="1">
        <v>57</v>
      </c>
      <c r="F12" s="1" t="s">
        <v>15</v>
      </c>
      <c r="G12" s="1" t="s">
        <v>16</v>
      </c>
      <c r="H12" s="1">
        <v>5</v>
      </c>
      <c r="I12" s="1" t="s">
        <v>17</v>
      </c>
      <c r="K12" s="1">
        <f t="shared" si="1"/>
        <v>9</v>
      </c>
      <c r="L12" s="1" t="s">
        <v>10</v>
      </c>
      <c r="M12" s="1">
        <v>61</v>
      </c>
      <c r="N12" s="1" t="s">
        <v>36</v>
      </c>
      <c r="O12" s="1" t="s">
        <v>16</v>
      </c>
      <c r="P12" s="1">
        <v>2</v>
      </c>
      <c r="Q12" s="1" t="s">
        <v>19</v>
      </c>
      <c r="S12" s="1">
        <f t="shared" si="2"/>
        <v>9</v>
      </c>
      <c r="T12" s="1" t="s">
        <v>14</v>
      </c>
      <c r="U12" s="1">
        <v>40</v>
      </c>
      <c r="V12" s="1" t="s">
        <v>15</v>
      </c>
      <c r="W12" s="1" t="s">
        <v>16</v>
      </c>
      <c r="X12" s="1">
        <v>3</v>
      </c>
      <c r="Y12" s="1" t="s">
        <v>24</v>
      </c>
    </row>
    <row r="13" spans="3:25" x14ac:dyDescent="0.2">
      <c r="C13" s="1">
        <f t="shared" si="0"/>
        <v>10</v>
      </c>
      <c r="D13" s="1" t="s">
        <v>14</v>
      </c>
      <c r="E13" s="1">
        <v>21</v>
      </c>
      <c r="F13" s="1" t="s">
        <v>42</v>
      </c>
      <c r="G13" s="1" t="s">
        <v>12</v>
      </c>
      <c r="H13" s="1">
        <v>4</v>
      </c>
      <c r="I13" s="1" t="s">
        <v>31</v>
      </c>
      <c r="K13" s="1">
        <f t="shared" si="1"/>
        <v>10</v>
      </c>
      <c r="L13" s="1" t="s">
        <v>10</v>
      </c>
      <c r="M13" s="1">
        <v>67</v>
      </c>
      <c r="N13" s="1" t="s">
        <v>43</v>
      </c>
      <c r="O13" s="1" t="s">
        <v>16</v>
      </c>
      <c r="P13" s="1">
        <v>4</v>
      </c>
      <c r="Q13" s="1" t="s">
        <v>44</v>
      </c>
      <c r="S13" s="1">
        <f t="shared" si="2"/>
        <v>10</v>
      </c>
      <c r="T13" s="1" t="s">
        <v>10</v>
      </c>
      <c r="U13" s="3">
        <v>40</v>
      </c>
      <c r="V13" s="1" t="s">
        <v>36</v>
      </c>
      <c r="W13" s="1" t="s">
        <v>16</v>
      </c>
      <c r="X13" s="1">
        <v>3</v>
      </c>
      <c r="Y13" s="1" t="s">
        <v>31</v>
      </c>
    </row>
    <row r="14" spans="3:25" x14ac:dyDescent="0.2">
      <c r="C14" s="1">
        <f t="shared" si="0"/>
        <v>11</v>
      </c>
      <c r="D14" s="1" t="s">
        <v>10</v>
      </c>
      <c r="E14" s="1">
        <v>40</v>
      </c>
      <c r="F14" s="1" t="s">
        <v>42</v>
      </c>
      <c r="G14" s="1" t="s">
        <v>12</v>
      </c>
      <c r="H14" s="1">
        <v>3</v>
      </c>
      <c r="I14" s="1" t="s">
        <v>13</v>
      </c>
      <c r="K14" s="1">
        <f t="shared" si="1"/>
        <v>11</v>
      </c>
      <c r="L14" s="1" t="s">
        <v>10</v>
      </c>
      <c r="M14" s="1">
        <v>48</v>
      </c>
      <c r="N14" s="1" t="s">
        <v>25</v>
      </c>
      <c r="O14" s="1" t="s">
        <v>16</v>
      </c>
      <c r="P14" s="1">
        <v>3</v>
      </c>
      <c r="Q14" s="1" t="s">
        <v>44</v>
      </c>
      <c r="S14" s="1">
        <f t="shared" si="2"/>
        <v>11</v>
      </c>
      <c r="T14" s="1" t="s">
        <v>14</v>
      </c>
      <c r="U14" s="1">
        <v>35</v>
      </c>
      <c r="V14" s="1" t="s">
        <v>45</v>
      </c>
      <c r="W14" s="1" t="s">
        <v>16</v>
      </c>
      <c r="X14" s="1">
        <v>3</v>
      </c>
      <c r="Y14" s="1" t="s">
        <v>24</v>
      </c>
    </row>
    <row r="15" spans="3:25" x14ac:dyDescent="0.2">
      <c r="C15" s="1">
        <f t="shared" si="0"/>
        <v>12</v>
      </c>
      <c r="D15" s="1" t="s">
        <v>14</v>
      </c>
      <c r="E15" s="1">
        <v>27</v>
      </c>
      <c r="F15" s="1" t="s">
        <v>42</v>
      </c>
      <c r="G15" s="1" t="s">
        <v>12</v>
      </c>
      <c r="H15" s="1">
        <v>4</v>
      </c>
      <c r="I15" s="1" t="s">
        <v>37</v>
      </c>
      <c r="K15" s="1">
        <f t="shared" si="1"/>
        <v>12</v>
      </c>
      <c r="L15" s="1" t="s">
        <v>14</v>
      </c>
      <c r="M15" s="1">
        <v>52</v>
      </c>
      <c r="N15" s="1" t="s">
        <v>15</v>
      </c>
      <c r="O15" s="1" t="s">
        <v>16</v>
      </c>
      <c r="P15" s="1">
        <v>1</v>
      </c>
      <c r="Q15" s="1" t="s">
        <v>19</v>
      </c>
      <c r="S15" s="1">
        <f t="shared" si="2"/>
        <v>12</v>
      </c>
      <c r="T15" s="1" t="s">
        <v>14</v>
      </c>
      <c r="U15" s="1">
        <v>44</v>
      </c>
      <c r="V15" s="1" t="s">
        <v>45</v>
      </c>
      <c r="W15" s="1" t="s">
        <v>22</v>
      </c>
      <c r="X15" s="1">
        <v>4</v>
      </c>
      <c r="Y15" s="1" t="s">
        <v>31</v>
      </c>
    </row>
    <row r="16" spans="3:25" x14ac:dyDescent="0.2">
      <c r="C16" s="1">
        <f t="shared" si="0"/>
        <v>13</v>
      </c>
      <c r="D16" s="1" t="s">
        <v>10</v>
      </c>
      <c r="E16" s="1">
        <v>42</v>
      </c>
      <c r="F16" s="1" t="s">
        <v>46</v>
      </c>
      <c r="G16" s="1" t="s">
        <v>12</v>
      </c>
      <c r="H16" s="1">
        <v>3</v>
      </c>
      <c r="I16" s="1" t="s">
        <v>17</v>
      </c>
      <c r="K16" s="1">
        <f t="shared" si="1"/>
        <v>13</v>
      </c>
      <c r="L16" s="1" t="s">
        <v>10</v>
      </c>
      <c r="M16" s="1">
        <v>64</v>
      </c>
      <c r="N16" s="1" t="s">
        <v>36</v>
      </c>
      <c r="O16" s="1" t="s">
        <v>22</v>
      </c>
      <c r="P16" s="1">
        <v>1</v>
      </c>
      <c r="Q16" s="1" t="s">
        <v>38</v>
      </c>
      <c r="S16" s="1">
        <f t="shared" si="2"/>
        <v>13</v>
      </c>
      <c r="T16" s="1" t="s">
        <v>14</v>
      </c>
      <c r="U16" s="1">
        <v>67</v>
      </c>
      <c r="V16" s="1" t="s">
        <v>47</v>
      </c>
      <c r="W16" s="1" t="s">
        <v>12</v>
      </c>
      <c r="X16" s="1">
        <v>6</v>
      </c>
      <c r="Y16" s="1" t="s">
        <v>24</v>
      </c>
    </row>
    <row r="17" spans="3:25" x14ac:dyDescent="0.2">
      <c r="C17" s="1">
        <f t="shared" si="0"/>
        <v>14</v>
      </c>
      <c r="D17" s="1" t="s">
        <v>14</v>
      </c>
      <c r="E17" s="1">
        <v>38</v>
      </c>
      <c r="F17" s="1" t="s">
        <v>46</v>
      </c>
      <c r="G17" s="1" t="s">
        <v>12</v>
      </c>
      <c r="H17" s="1">
        <v>2</v>
      </c>
      <c r="I17" s="1" t="s">
        <v>37</v>
      </c>
      <c r="K17" s="1">
        <f t="shared" si="1"/>
        <v>14</v>
      </c>
      <c r="L17" s="1" t="s">
        <v>14</v>
      </c>
      <c r="M17" s="1">
        <v>28</v>
      </c>
      <c r="N17" s="1" t="s">
        <v>25</v>
      </c>
      <c r="O17" s="1" t="s">
        <v>12</v>
      </c>
      <c r="P17" s="1">
        <v>3</v>
      </c>
      <c r="Q17" s="1" t="s">
        <v>17</v>
      </c>
    </row>
    <row r="20" spans="3:25" x14ac:dyDescent="0.2">
      <c r="C20" s="26" t="s">
        <v>48</v>
      </c>
      <c r="D20" s="26"/>
      <c r="E20" s="26"/>
      <c r="F20" s="26"/>
      <c r="G20" s="26"/>
      <c r="H20" s="26"/>
      <c r="I20" s="26"/>
      <c r="K20" s="26" t="s">
        <v>49</v>
      </c>
      <c r="L20" s="26"/>
      <c r="M20" s="26"/>
      <c r="N20" s="26"/>
      <c r="O20" s="26"/>
      <c r="P20" s="26"/>
      <c r="Q20" s="26"/>
      <c r="S20" s="26" t="s">
        <v>50</v>
      </c>
      <c r="T20" s="26"/>
      <c r="U20" s="26"/>
      <c r="V20" s="26"/>
      <c r="W20" s="26"/>
      <c r="X20" s="26"/>
      <c r="Y20" s="26"/>
    </row>
    <row r="21" spans="3:25" x14ac:dyDescent="0.2">
      <c r="C21" s="26"/>
      <c r="D21" s="26"/>
      <c r="E21" s="26"/>
      <c r="F21" s="26"/>
      <c r="G21" s="26"/>
      <c r="H21" s="26"/>
      <c r="I21" s="26"/>
      <c r="K21" s="26"/>
      <c r="L21" s="26"/>
      <c r="M21" s="26"/>
      <c r="N21" s="26"/>
      <c r="O21" s="26"/>
      <c r="P21" s="26"/>
      <c r="Q21" s="26"/>
      <c r="S21" s="26"/>
      <c r="T21" s="26"/>
      <c r="U21" s="26"/>
      <c r="V21" s="26"/>
      <c r="W21" s="26"/>
      <c r="X21" s="26"/>
      <c r="Y21" s="26"/>
    </row>
    <row r="22" spans="3:25" x14ac:dyDescent="0.2">
      <c r="C22" s="5" t="s">
        <v>51</v>
      </c>
      <c r="D22" s="5" t="s">
        <v>4</v>
      </c>
      <c r="E22" s="5" t="s">
        <v>5</v>
      </c>
      <c r="F22" s="5" t="s">
        <v>6</v>
      </c>
      <c r="G22" s="5" t="s">
        <v>7</v>
      </c>
      <c r="H22" s="5" t="s">
        <v>8</v>
      </c>
      <c r="I22" s="5" t="s">
        <v>9</v>
      </c>
      <c r="K22" s="5" t="s">
        <v>51</v>
      </c>
      <c r="L22" s="5" t="s">
        <v>4</v>
      </c>
      <c r="M22" s="5" t="s">
        <v>5</v>
      </c>
      <c r="N22" s="5" t="s">
        <v>6</v>
      </c>
      <c r="O22" s="5" t="s">
        <v>7</v>
      </c>
      <c r="P22" s="5" t="s">
        <v>8</v>
      </c>
      <c r="Q22" s="5" t="s">
        <v>9</v>
      </c>
      <c r="S22" s="5" t="s">
        <v>51</v>
      </c>
      <c r="T22" s="5" t="s">
        <v>4</v>
      </c>
      <c r="U22" s="5" t="s">
        <v>5</v>
      </c>
      <c r="V22" s="5" t="s">
        <v>6</v>
      </c>
      <c r="W22" s="5" t="s">
        <v>7</v>
      </c>
      <c r="X22" s="5" t="s">
        <v>8</v>
      </c>
      <c r="Y22" s="5" t="s">
        <v>9</v>
      </c>
    </row>
    <row r="23" spans="3:25" ht="52" customHeight="1" x14ac:dyDescent="0.2">
      <c r="C23" s="21" t="s">
        <v>52</v>
      </c>
      <c r="D23" s="4" t="s">
        <v>53</v>
      </c>
      <c r="E23" s="4">
        <v>21</v>
      </c>
      <c r="F23" s="4" t="s">
        <v>42</v>
      </c>
      <c r="G23" s="4" t="s">
        <v>12</v>
      </c>
      <c r="H23" s="4">
        <v>4</v>
      </c>
      <c r="I23" s="4" t="s">
        <v>31</v>
      </c>
      <c r="K23" s="21" t="s">
        <v>52</v>
      </c>
      <c r="L23" s="4" t="s">
        <v>54</v>
      </c>
      <c r="M23" s="4">
        <v>21</v>
      </c>
      <c r="N23" s="4" t="s">
        <v>25</v>
      </c>
      <c r="O23" s="4" t="s">
        <v>12</v>
      </c>
      <c r="P23" s="4">
        <v>3</v>
      </c>
      <c r="Q23" s="4" t="s">
        <v>17</v>
      </c>
      <c r="S23" s="6" t="s">
        <v>52</v>
      </c>
      <c r="T23" s="4" t="s">
        <v>54</v>
      </c>
      <c r="U23" s="4">
        <v>23</v>
      </c>
      <c r="V23" s="4" t="s">
        <v>23</v>
      </c>
      <c r="W23" s="4" t="s">
        <v>12</v>
      </c>
      <c r="X23" s="4">
        <v>2</v>
      </c>
      <c r="Y23" s="4" t="s">
        <v>55</v>
      </c>
    </row>
    <row r="24" spans="3:25" ht="15" customHeight="1" x14ac:dyDescent="0.2">
      <c r="C24" s="25"/>
      <c r="D24" s="4" t="s">
        <v>53</v>
      </c>
      <c r="E24" s="4">
        <v>24</v>
      </c>
      <c r="F24" s="4" t="s">
        <v>42</v>
      </c>
      <c r="G24" s="4" t="s">
        <v>12</v>
      </c>
      <c r="H24" s="4">
        <v>5</v>
      </c>
      <c r="I24" s="4" t="s">
        <v>31</v>
      </c>
      <c r="K24" s="21"/>
      <c r="L24" s="4" t="s">
        <v>53</v>
      </c>
      <c r="M24" s="4">
        <v>22</v>
      </c>
      <c r="N24" s="4" t="s">
        <v>15</v>
      </c>
      <c r="O24" s="4" t="s">
        <v>22</v>
      </c>
      <c r="P24" s="4">
        <v>1</v>
      </c>
      <c r="Q24" s="4" t="s">
        <v>17</v>
      </c>
      <c r="S24" s="19" t="s">
        <v>56</v>
      </c>
      <c r="T24" s="1" t="s">
        <v>54</v>
      </c>
      <c r="U24" s="1">
        <v>32</v>
      </c>
      <c r="V24" s="1" t="s">
        <v>25</v>
      </c>
      <c r="W24" s="1" t="s">
        <v>16</v>
      </c>
      <c r="X24" s="1">
        <v>3</v>
      </c>
      <c r="Y24" s="1" t="s">
        <v>17</v>
      </c>
    </row>
    <row r="25" spans="3:25" x14ac:dyDescent="0.2">
      <c r="C25" s="25"/>
      <c r="D25" s="4" t="s">
        <v>53</v>
      </c>
      <c r="E25" s="4">
        <v>27</v>
      </c>
      <c r="F25" s="4" t="s">
        <v>42</v>
      </c>
      <c r="G25" s="4" t="s">
        <v>12</v>
      </c>
      <c r="H25" s="4">
        <v>4</v>
      </c>
      <c r="I25" s="1" t="s">
        <v>55</v>
      </c>
      <c r="K25" s="21"/>
      <c r="L25" s="4" t="s">
        <v>53</v>
      </c>
      <c r="M25" s="4">
        <v>22</v>
      </c>
      <c r="N25" s="4" t="s">
        <v>25</v>
      </c>
      <c r="O25" s="4" t="s">
        <v>22</v>
      </c>
      <c r="P25" s="4">
        <v>1</v>
      </c>
      <c r="Q25" s="4" t="s">
        <v>17</v>
      </c>
      <c r="S25" s="20"/>
      <c r="T25" s="1" t="s">
        <v>53</v>
      </c>
      <c r="U25" s="1">
        <v>33</v>
      </c>
      <c r="V25" s="1" t="s">
        <v>30</v>
      </c>
      <c r="W25" s="1" t="s">
        <v>12</v>
      </c>
      <c r="X25" s="1">
        <v>3</v>
      </c>
      <c r="Y25" s="1" t="s">
        <v>31</v>
      </c>
    </row>
    <row r="26" spans="3:25" x14ac:dyDescent="0.2">
      <c r="C26" s="25"/>
      <c r="D26" s="4" t="s">
        <v>54</v>
      </c>
      <c r="E26" s="4">
        <v>30</v>
      </c>
      <c r="F26" s="4" t="s">
        <v>23</v>
      </c>
      <c r="G26" s="4" t="s">
        <v>12</v>
      </c>
      <c r="H26" s="4">
        <v>3</v>
      </c>
      <c r="I26" s="4" t="s">
        <v>31</v>
      </c>
      <c r="K26" s="21"/>
      <c r="L26" s="4" t="s">
        <v>53</v>
      </c>
      <c r="M26" s="4">
        <v>23</v>
      </c>
      <c r="N26" s="4" t="s">
        <v>15</v>
      </c>
      <c r="O26" s="4" t="s">
        <v>22</v>
      </c>
      <c r="P26" s="4">
        <v>1</v>
      </c>
      <c r="Q26" s="4" t="s">
        <v>17</v>
      </c>
      <c r="S26" s="20"/>
      <c r="T26" s="1" t="s">
        <v>53</v>
      </c>
      <c r="U26" s="1">
        <v>35</v>
      </c>
      <c r="V26" s="1" t="s">
        <v>45</v>
      </c>
      <c r="W26" s="1" t="s">
        <v>16</v>
      </c>
      <c r="X26" s="1">
        <v>3</v>
      </c>
      <c r="Y26" s="4" t="s">
        <v>55</v>
      </c>
    </row>
    <row r="27" spans="3:25" x14ac:dyDescent="0.2">
      <c r="C27" s="25"/>
      <c r="D27" s="4" t="s">
        <v>54</v>
      </c>
      <c r="E27" s="4">
        <v>30</v>
      </c>
      <c r="F27" s="4" t="s">
        <v>33</v>
      </c>
      <c r="G27" s="4" t="s">
        <v>12</v>
      </c>
      <c r="H27" s="4">
        <v>4</v>
      </c>
      <c r="I27" s="4" t="s">
        <v>34</v>
      </c>
      <c r="K27" s="21"/>
      <c r="L27" s="4" t="s">
        <v>53</v>
      </c>
      <c r="M27" s="4">
        <v>28</v>
      </c>
      <c r="N27" s="4" t="s">
        <v>25</v>
      </c>
      <c r="O27" s="4" t="s">
        <v>12</v>
      </c>
      <c r="P27" s="4">
        <v>3</v>
      </c>
      <c r="Q27" s="4" t="s">
        <v>17</v>
      </c>
      <c r="S27" s="20"/>
      <c r="T27" s="1" t="s">
        <v>53</v>
      </c>
      <c r="U27" s="1">
        <v>40</v>
      </c>
      <c r="V27" s="1" t="s">
        <v>15</v>
      </c>
      <c r="W27" s="1" t="s">
        <v>16</v>
      </c>
      <c r="X27" s="1">
        <v>3</v>
      </c>
      <c r="Y27" s="4" t="s">
        <v>55</v>
      </c>
    </row>
    <row r="28" spans="3:25" ht="15" customHeight="1" x14ac:dyDescent="0.2">
      <c r="C28" s="21" t="s">
        <v>56</v>
      </c>
      <c r="D28" s="4" t="s">
        <v>53</v>
      </c>
      <c r="E28" s="4">
        <v>37</v>
      </c>
      <c r="F28" s="4" t="s">
        <v>25</v>
      </c>
      <c r="G28" s="4" t="s">
        <v>26</v>
      </c>
      <c r="H28" s="4">
        <v>3</v>
      </c>
      <c r="I28" s="4" t="s">
        <v>13</v>
      </c>
      <c r="K28" s="21"/>
      <c r="L28" s="4" t="s">
        <v>53</v>
      </c>
      <c r="M28" s="4">
        <v>30</v>
      </c>
      <c r="N28" s="4" t="s">
        <v>15</v>
      </c>
      <c r="O28" s="4" t="s">
        <v>16</v>
      </c>
      <c r="P28" s="4">
        <v>1</v>
      </c>
      <c r="Q28" s="4" t="s">
        <v>17</v>
      </c>
      <c r="S28" s="20"/>
      <c r="T28" s="1" t="s">
        <v>54</v>
      </c>
      <c r="U28" s="3">
        <v>40</v>
      </c>
      <c r="V28" s="1" t="s">
        <v>36</v>
      </c>
      <c r="W28" s="1" t="s">
        <v>16</v>
      </c>
      <c r="X28" s="1">
        <v>3</v>
      </c>
      <c r="Y28" s="1" t="s">
        <v>31</v>
      </c>
    </row>
    <row r="29" spans="3:25" ht="15" customHeight="1" x14ac:dyDescent="0.2">
      <c r="C29" s="25"/>
      <c r="D29" s="4" t="s">
        <v>53</v>
      </c>
      <c r="E29" s="4">
        <v>38</v>
      </c>
      <c r="F29" s="4" t="s">
        <v>46</v>
      </c>
      <c r="G29" s="4" t="s">
        <v>12</v>
      </c>
      <c r="H29" s="4">
        <v>2</v>
      </c>
      <c r="I29" s="1" t="s">
        <v>55</v>
      </c>
      <c r="K29" s="21" t="s">
        <v>56</v>
      </c>
      <c r="L29" s="4" t="s">
        <v>53</v>
      </c>
      <c r="M29" s="4">
        <v>40</v>
      </c>
      <c r="N29" s="4" t="s">
        <v>15</v>
      </c>
      <c r="O29" s="4" t="s">
        <v>12</v>
      </c>
      <c r="P29" s="4">
        <v>1</v>
      </c>
      <c r="Q29" s="4" t="s">
        <v>55</v>
      </c>
      <c r="S29" s="20"/>
      <c r="T29" s="1" t="s">
        <v>53</v>
      </c>
      <c r="U29" s="1">
        <v>44</v>
      </c>
      <c r="V29" s="1" t="s">
        <v>45</v>
      </c>
      <c r="W29" s="1" t="s">
        <v>22</v>
      </c>
      <c r="X29" s="1">
        <v>4</v>
      </c>
      <c r="Y29" s="1" t="s">
        <v>31</v>
      </c>
    </row>
    <row r="30" spans="3:25" ht="15" customHeight="1" x14ac:dyDescent="0.2">
      <c r="C30" s="25"/>
      <c r="D30" s="4" t="s">
        <v>54</v>
      </c>
      <c r="E30" s="4">
        <v>40</v>
      </c>
      <c r="F30" s="4" t="s">
        <v>42</v>
      </c>
      <c r="G30" s="4" t="s">
        <v>12</v>
      </c>
      <c r="H30" s="4">
        <v>3</v>
      </c>
      <c r="I30" s="4" t="s">
        <v>13</v>
      </c>
      <c r="K30" s="21"/>
      <c r="L30" s="4" t="s">
        <v>53</v>
      </c>
      <c r="M30" s="4">
        <v>42</v>
      </c>
      <c r="N30" s="4" t="s">
        <v>25</v>
      </c>
      <c r="O30" s="4" t="s">
        <v>16</v>
      </c>
      <c r="P30" s="4">
        <v>5</v>
      </c>
      <c r="Q30" s="4" t="s">
        <v>35</v>
      </c>
      <c r="S30" s="21" t="s">
        <v>57</v>
      </c>
      <c r="T30" s="1" t="s">
        <v>53</v>
      </c>
      <c r="U30" s="1">
        <v>51</v>
      </c>
      <c r="V30" s="1" t="s">
        <v>32</v>
      </c>
      <c r="W30" s="1" t="s">
        <v>39</v>
      </c>
      <c r="X30" s="1">
        <v>2</v>
      </c>
      <c r="Y30" s="1" t="s">
        <v>35</v>
      </c>
    </row>
    <row r="31" spans="3:25" x14ac:dyDescent="0.2">
      <c r="C31" s="25"/>
      <c r="D31" s="4" t="s">
        <v>53</v>
      </c>
      <c r="E31" s="4">
        <v>40</v>
      </c>
      <c r="F31" s="4" t="s">
        <v>25</v>
      </c>
      <c r="G31" s="4" t="s">
        <v>12</v>
      </c>
      <c r="H31" s="4">
        <v>2</v>
      </c>
      <c r="I31" s="1" t="s">
        <v>55</v>
      </c>
      <c r="K31" s="21"/>
      <c r="L31" s="4" t="s">
        <v>53</v>
      </c>
      <c r="M31" s="4">
        <v>45</v>
      </c>
      <c r="N31" s="4" t="s">
        <v>27</v>
      </c>
      <c r="O31" s="4" t="s">
        <v>28</v>
      </c>
      <c r="P31" s="4">
        <v>2</v>
      </c>
      <c r="Q31" s="4" t="s">
        <v>55</v>
      </c>
      <c r="S31" s="21"/>
      <c r="T31" s="1" t="s">
        <v>53</v>
      </c>
      <c r="U31" s="1">
        <v>59</v>
      </c>
      <c r="V31" s="1" t="s">
        <v>36</v>
      </c>
      <c r="W31" s="1" t="s">
        <v>16</v>
      </c>
      <c r="X31" s="1">
        <v>2</v>
      </c>
      <c r="Y31" s="1" t="s">
        <v>31</v>
      </c>
    </row>
    <row r="32" spans="3:25" x14ac:dyDescent="0.2">
      <c r="C32" s="25"/>
      <c r="D32" s="4" t="s">
        <v>54</v>
      </c>
      <c r="E32" s="4">
        <v>42</v>
      </c>
      <c r="F32" s="4" t="s">
        <v>46</v>
      </c>
      <c r="G32" s="4" t="s">
        <v>12</v>
      </c>
      <c r="H32" s="4">
        <v>3</v>
      </c>
      <c r="I32" s="4" t="s">
        <v>17</v>
      </c>
      <c r="K32" s="21"/>
      <c r="L32" s="4" t="s">
        <v>54</v>
      </c>
      <c r="M32" s="4">
        <v>48</v>
      </c>
      <c r="N32" s="4" t="s">
        <v>25</v>
      </c>
      <c r="O32" s="4" t="s">
        <v>16</v>
      </c>
      <c r="P32" s="4">
        <v>3</v>
      </c>
      <c r="Q32" s="4" t="s">
        <v>44</v>
      </c>
      <c r="S32" s="21"/>
      <c r="T32" s="1" t="s">
        <v>53</v>
      </c>
      <c r="U32" s="1">
        <v>65</v>
      </c>
      <c r="V32" s="1" t="s">
        <v>32</v>
      </c>
      <c r="W32" s="1" t="s">
        <v>12</v>
      </c>
      <c r="X32" s="1">
        <v>3</v>
      </c>
      <c r="Y32" s="1" t="s">
        <v>31</v>
      </c>
    </row>
    <row r="33" spans="3:25" ht="15" customHeight="1" x14ac:dyDescent="0.2">
      <c r="C33" s="21" t="s">
        <v>57</v>
      </c>
      <c r="D33" s="4" t="s">
        <v>54</v>
      </c>
      <c r="E33" s="4">
        <v>53</v>
      </c>
      <c r="F33" s="4" t="s">
        <v>25</v>
      </c>
      <c r="G33" s="4" t="s">
        <v>16</v>
      </c>
      <c r="H33" s="4">
        <v>3</v>
      </c>
      <c r="I33" s="4" t="s">
        <v>13</v>
      </c>
      <c r="K33" s="21" t="s">
        <v>57</v>
      </c>
      <c r="L33" s="4" t="s">
        <v>53</v>
      </c>
      <c r="M33" s="4">
        <v>52</v>
      </c>
      <c r="N33" s="4" t="s">
        <v>15</v>
      </c>
      <c r="O33" s="4" t="s">
        <v>16</v>
      </c>
      <c r="P33" s="4">
        <v>1</v>
      </c>
      <c r="Q33" s="4" t="s">
        <v>19</v>
      </c>
      <c r="S33" s="21"/>
      <c r="T33" s="1" t="s">
        <v>53</v>
      </c>
      <c r="U33" s="1">
        <v>67</v>
      </c>
      <c r="V33" s="1" t="s">
        <v>47</v>
      </c>
      <c r="W33" s="1" t="s">
        <v>12</v>
      </c>
      <c r="X33" s="1">
        <v>6</v>
      </c>
      <c r="Y33" s="4" t="s">
        <v>55</v>
      </c>
    </row>
    <row r="34" spans="3:25" x14ac:dyDescent="0.2">
      <c r="C34" s="21"/>
      <c r="D34" s="4" t="s">
        <v>53</v>
      </c>
      <c r="E34" s="4">
        <v>53</v>
      </c>
      <c r="F34" s="4" t="s">
        <v>20</v>
      </c>
      <c r="G34" s="4" t="s">
        <v>21</v>
      </c>
      <c r="H34" s="4">
        <v>4</v>
      </c>
      <c r="I34" s="4" t="s">
        <v>13</v>
      </c>
      <c r="K34" s="21"/>
      <c r="L34" s="4" t="s">
        <v>54</v>
      </c>
      <c r="M34" s="4">
        <v>61</v>
      </c>
      <c r="N34" s="4" t="s">
        <v>36</v>
      </c>
      <c r="O34" s="4" t="s">
        <v>16</v>
      </c>
      <c r="P34" s="4">
        <v>2</v>
      </c>
      <c r="Q34" s="4" t="s">
        <v>19</v>
      </c>
      <c r="S34" s="21"/>
      <c r="T34" s="1" t="s">
        <v>54</v>
      </c>
      <c r="U34" s="1">
        <v>68</v>
      </c>
      <c r="V34" s="1" t="s">
        <v>18</v>
      </c>
      <c r="W34" s="1" t="s">
        <v>16</v>
      </c>
      <c r="X34" s="1">
        <v>3</v>
      </c>
      <c r="Y34" s="1" t="s">
        <v>19</v>
      </c>
    </row>
    <row r="35" spans="3:25" x14ac:dyDescent="0.2">
      <c r="C35" s="21"/>
      <c r="D35" s="4" t="s">
        <v>53</v>
      </c>
      <c r="E35" s="4">
        <v>57</v>
      </c>
      <c r="F35" s="4" t="s">
        <v>15</v>
      </c>
      <c r="G35" s="4" t="s">
        <v>16</v>
      </c>
      <c r="H35" s="4">
        <v>5</v>
      </c>
      <c r="I35" s="4" t="s">
        <v>17</v>
      </c>
      <c r="K35" s="21"/>
      <c r="L35" s="4" t="s">
        <v>54</v>
      </c>
      <c r="M35" s="4">
        <v>64</v>
      </c>
      <c r="N35" s="4" t="s">
        <v>36</v>
      </c>
      <c r="O35" s="4" t="s">
        <v>22</v>
      </c>
      <c r="P35" s="4">
        <v>1</v>
      </c>
      <c r="Q35" s="4" t="s">
        <v>55</v>
      </c>
      <c r="S35" s="21"/>
      <c r="T35" s="1" t="s">
        <v>54</v>
      </c>
      <c r="U35" s="1">
        <v>75</v>
      </c>
      <c r="V35" s="1" t="s">
        <v>41</v>
      </c>
      <c r="W35" s="1" t="s">
        <v>16</v>
      </c>
      <c r="X35" s="1">
        <v>3</v>
      </c>
      <c r="Y35" s="1" t="s">
        <v>58</v>
      </c>
    </row>
    <row r="36" spans="3:25" x14ac:dyDescent="0.2">
      <c r="C36" s="21"/>
      <c r="D36" s="4" t="s">
        <v>54</v>
      </c>
      <c r="E36" s="4">
        <v>58</v>
      </c>
      <c r="F36" s="4" t="s">
        <v>11</v>
      </c>
      <c r="G36" s="4" t="s">
        <v>12</v>
      </c>
      <c r="H36" s="4">
        <v>4</v>
      </c>
      <c r="I36" s="4" t="s">
        <v>13</v>
      </c>
      <c r="K36" s="21"/>
      <c r="L36" s="4" t="s">
        <v>54</v>
      </c>
      <c r="M36" s="4">
        <v>67</v>
      </c>
      <c r="N36" s="4" t="s">
        <v>43</v>
      </c>
      <c r="O36" s="4" t="s">
        <v>16</v>
      </c>
      <c r="P36" s="4">
        <v>4</v>
      </c>
      <c r="Q36" s="4" t="s">
        <v>44</v>
      </c>
    </row>
  </sheetData>
  <mergeCells count="14">
    <mergeCell ref="S24:S29"/>
    <mergeCell ref="S30:S35"/>
    <mergeCell ref="C33:C36"/>
    <mergeCell ref="C2:I2"/>
    <mergeCell ref="K2:Q2"/>
    <mergeCell ref="S2:Y2"/>
    <mergeCell ref="C23:C27"/>
    <mergeCell ref="C28:C32"/>
    <mergeCell ref="K33:K36"/>
    <mergeCell ref="K29:K32"/>
    <mergeCell ref="K23:K28"/>
    <mergeCell ref="C20:I21"/>
    <mergeCell ref="K20:Q21"/>
    <mergeCell ref="S20:Y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E23C-27A5-430D-AAD8-B1EBDB006484}">
  <dimension ref="A1:V42"/>
  <sheetViews>
    <sheetView workbookViewId="0">
      <selection sqref="A1:L42"/>
    </sheetView>
  </sheetViews>
  <sheetFormatPr baseColWidth="10" defaultColWidth="9.1640625" defaultRowHeight="15" x14ac:dyDescent="0.2"/>
  <cols>
    <col min="1" max="1" width="9.1640625" style="11"/>
    <col min="2" max="2" width="10.6640625" style="11" bestFit="1" customWidth="1"/>
    <col min="3" max="3" width="9.1640625" style="11"/>
    <col min="4" max="4" width="11.6640625" style="11" bestFit="1" customWidth="1"/>
    <col min="5" max="6" width="9.1640625" style="11"/>
    <col min="7" max="7" width="11" style="11" bestFit="1" customWidth="1"/>
    <col min="8" max="8" width="9.1640625" style="11"/>
    <col min="9" max="9" width="23" style="11" bestFit="1" customWidth="1"/>
    <col min="10" max="10" width="12" style="11" bestFit="1" customWidth="1"/>
    <col min="11" max="11" width="9.1640625" style="11"/>
    <col min="12" max="12" width="18.5" style="11" bestFit="1" customWidth="1"/>
    <col min="13" max="14" width="24.1640625" style="11" customWidth="1"/>
    <col min="15" max="15" width="19.6640625" style="11" customWidth="1"/>
    <col min="16" max="16" width="38.5" style="11" customWidth="1"/>
    <col min="17" max="16384" width="9.1640625" style="11"/>
  </cols>
  <sheetData>
    <row r="1" spans="1:22" ht="16" x14ac:dyDescent="0.2">
      <c r="A1" s="7" t="s">
        <v>59</v>
      </c>
      <c r="B1" s="8" t="s">
        <v>60</v>
      </c>
      <c r="C1" s="8" t="s">
        <v>61</v>
      </c>
      <c r="D1" s="8" t="s">
        <v>1</v>
      </c>
      <c r="E1" s="8" t="s">
        <v>2</v>
      </c>
      <c r="F1" s="8" t="s">
        <v>5</v>
      </c>
      <c r="G1" s="7" t="s">
        <v>62</v>
      </c>
      <c r="H1" s="8" t="s">
        <v>63</v>
      </c>
      <c r="I1" s="9" t="s">
        <v>64</v>
      </c>
      <c r="J1" s="9" t="s">
        <v>65</v>
      </c>
      <c r="K1" s="8" t="s">
        <v>8</v>
      </c>
      <c r="L1" s="9" t="s">
        <v>66</v>
      </c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ht="16" x14ac:dyDescent="0.2">
      <c r="A2" s="12">
        <v>1</v>
      </c>
      <c r="B2" s="13" t="s">
        <v>61</v>
      </c>
      <c r="C2" s="13">
        <f>IF(B2="Medellin",1,0)</f>
        <v>1</v>
      </c>
      <c r="D2" s="13">
        <f>IF(B2="Santa Rosa",1,0)</f>
        <v>0</v>
      </c>
      <c r="E2" s="13">
        <f>IF(B2="Guarne",1,0)</f>
        <v>0</v>
      </c>
      <c r="F2" s="13">
        <v>58</v>
      </c>
      <c r="G2" s="15" t="s">
        <v>10</v>
      </c>
      <c r="H2" s="13" cm="1">
        <f t="array" ref="H2">IF(G2="M",0,IF(G2="F",1,_xleta.N/A))</f>
        <v>0</v>
      </c>
      <c r="I2" s="14" t="s">
        <v>11</v>
      </c>
      <c r="J2" s="14" t="s">
        <v>12</v>
      </c>
      <c r="K2" s="13">
        <v>4</v>
      </c>
      <c r="L2" s="14" t="s">
        <v>13</v>
      </c>
      <c r="M2" s="16"/>
      <c r="N2" s="10"/>
      <c r="O2" s="10"/>
      <c r="P2" s="10"/>
      <c r="Q2" s="10"/>
      <c r="R2" s="10"/>
      <c r="S2" s="10"/>
      <c r="T2" s="10"/>
      <c r="U2" s="10"/>
      <c r="V2" s="10"/>
    </row>
    <row r="3" spans="1:22" ht="16" x14ac:dyDescent="0.2">
      <c r="A3" s="12">
        <v>2</v>
      </c>
      <c r="B3" s="13" t="s">
        <v>61</v>
      </c>
      <c r="C3" s="13">
        <f t="shared" ref="C3:C42" si="0">IF(B3="Medellin",1,0)</f>
        <v>1</v>
      </c>
      <c r="D3" s="13">
        <f t="shared" ref="D3:D42" si="1">IF(B3="Santa Rosa",1,0)</f>
        <v>0</v>
      </c>
      <c r="E3" s="13">
        <f t="shared" ref="E3:E42" si="2">IF(B3="Guarne",1,0)</f>
        <v>0</v>
      </c>
      <c r="F3" s="13">
        <v>53</v>
      </c>
      <c r="G3" s="15" t="s">
        <v>14</v>
      </c>
      <c r="H3" s="13" cm="1">
        <f t="array" ref="H3">IF(G3="M",0,IF(G3="F",1,_xleta.N/A))</f>
        <v>1</v>
      </c>
      <c r="I3" s="14" t="s">
        <v>20</v>
      </c>
      <c r="J3" s="14" t="s">
        <v>21</v>
      </c>
      <c r="K3" s="13">
        <v>4</v>
      </c>
      <c r="L3" s="14" t="s">
        <v>13</v>
      </c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16" x14ac:dyDescent="0.2">
      <c r="A4" s="12">
        <v>3</v>
      </c>
      <c r="B4" s="13" t="s">
        <v>61</v>
      </c>
      <c r="C4" s="13">
        <f t="shared" si="0"/>
        <v>1</v>
      </c>
      <c r="D4" s="13">
        <f t="shared" si="1"/>
        <v>0</v>
      </c>
      <c r="E4" s="13">
        <f t="shared" si="2"/>
        <v>0</v>
      </c>
      <c r="F4" s="13">
        <v>37</v>
      </c>
      <c r="G4" s="15" t="s">
        <v>14</v>
      </c>
      <c r="H4" s="13" cm="1">
        <f t="array" ref="H4">IF(G4="M",0,IF(G4="F",1,_xleta.N/A))</f>
        <v>1</v>
      </c>
      <c r="I4" s="14" t="s">
        <v>25</v>
      </c>
      <c r="J4" s="14" t="s">
        <v>26</v>
      </c>
      <c r="K4" s="13">
        <v>3</v>
      </c>
      <c r="L4" s="14" t="s">
        <v>13</v>
      </c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6" x14ac:dyDescent="0.2">
      <c r="A5" s="12">
        <v>4</v>
      </c>
      <c r="B5" s="13" t="s">
        <v>61</v>
      </c>
      <c r="C5" s="13">
        <f t="shared" si="0"/>
        <v>1</v>
      </c>
      <c r="D5" s="13">
        <f t="shared" si="1"/>
        <v>0</v>
      </c>
      <c r="E5" s="13">
        <f t="shared" si="2"/>
        <v>0</v>
      </c>
      <c r="F5" s="13">
        <v>53</v>
      </c>
      <c r="G5" s="15" t="s">
        <v>10</v>
      </c>
      <c r="H5" s="13" cm="1">
        <f t="array" ref="H5">IF(G5="M",0,IF(G5="F",1,_xleta.N/A))</f>
        <v>0</v>
      </c>
      <c r="I5" s="14" t="s">
        <v>25</v>
      </c>
      <c r="J5" s="14" t="s">
        <v>16</v>
      </c>
      <c r="K5" s="13">
        <v>3</v>
      </c>
      <c r="L5" s="14" t="s">
        <v>13</v>
      </c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ht="16" x14ac:dyDescent="0.2">
      <c r="A6" s="12">
        <v>5</v>
      </c>
      <c r="B6" s="13" t="s">
        <v>61</v>
      </c>
      <c r="C6" s="13">
        <f t="shared" si="0"/>
        <v>1</v>
      </c>
      <c r="D6" s="13">
        <f t="shared" si="1"/>
        <v>0</v>
      </c>
      <c r="E6" s="13">
        <f t="shared" si="2"/>
        <v>0</v>
      </c>
      <c r="F6" s="13">
        <v>30</v>
      </c>
      <c r="G6" s="15" t="s">
        <v>10</v>
      </c>
      <c r="H6" s="13" cm="1">
        <f t="array" ref="H6">IF(G6="M",0,IF(G6="F",1,_xleta.N/A))</f>
        <v>0</v>
      </c>
      <c r="I6" s="14" t="s">
        <v>33</v>
      </c>
      <c r="J6" s="14" t="s">
        <v>12</v>
      </c>
      <c r="K6" s="13">
        <v>4</v>
      </c>
      <c r="L6" s="14" t="s">
        <v>34</v>
      </c>
      <c r="M6" s="10"/>
      <c r="N6" s="10"/>
      <c r="O6" s="10"/>
      <c r="P6" s="10"/>
      <c r="Q6" s="10"/>
      <c r="R6" s="10"/>
      <c r="S6" s="10"/>
      <c r="T6" s="10"/>
      <c r="U6" s="10"/>
      <c r="V6" s="10"/>
    </row>
    <row r="7" spans="1:22" ht="16" x14ac:dyDescent="0.2">
      <c r="A7" s="12">
        <v>6</v>
      </c>
      <c r="B7" s="13" t="s">
        <v>61</v>
      </c>
      <c r="C7" s="13">
        <f t="shared" si="0"/>
        <v>1</v>
      </c>
      <c r="D7" s="13">
        <f t="shared" si="1"/>
        <v>0</v>
      </c>
      <c r="E7" s="13">
        <f t="shared" si="2"/>
        <v>0</v>
      </c>
      <c r="F7" s="13">
        <v>40</v>
      </c>
      <c r="G7" s="15" t="s">
        <v>14</v>
      </c>
      <c r="H7" s="13" cm="1">
        <f t="array" ref="H7">IF(G7="M",0,IF(G7="F",1,_xleta.N/A))</f>
        <v>1</v>
      </c>
      <c r="I7" s="14" t="s">
        <v>25</v>
      </c>
      <c r="J7" s="14" t="s">
        <v>12</v>
      </c>
      <c r="K7" s="13">
        <v>2</v>
      </c>
      <c r="L7" s="14" t="s">
        <v>37</v>
      </c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ht="16" x14ac:dyDescent="0.2">
      <c r="A8" s="12">
        <v>7</v>
      </c>
      <c r="B8" s="13" t="s">
        <v>61</v>
      </c>
      <c r="C8" s="13">
        <f t="shared" si="0"/>
        <v>1</v>
      </c>
      <c r="D8" s="13">
        <f t="shared" si="1"/>
        <v>0</v>
      </c>
      <c r="E8" s="13">
        <f t="shared" si="2"/>
        <v>0</v>
      </c>
      <c r="F8" s="13">
        <v>30</v>
      </c>
      <c r="G8" s="15" t="s">
        <v>10</v>
      </c>
      <c r="H8" s="13" cm="1">
        <f t="array" ref="H8">IF(G8="M",0,IF(G8="F",1,_xleta.N/A))</f>
        <v>0</v>
      </c>
      <c r="I8" s="14" t="s">
        <v>40</v>
      </c>
      <c r="J8" s="14" t="s">
        <v>12</v>
      </c>
      <c r="K8" s="13">
        <v>3</v>
      </c>
      <c r="L8" s="14" t="s">
        <v>31</v>
      </c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ht="16" x14ac:dyDescent="0.2">
      <c r="A9" s="12">
        <v>8</v>
      </c>
      <c r="B9" s="13" t="s">
        <v>61</v>
      </c>
      <c r="C9" s="13">
        <f t="shared" si="0"/>
        <v>1</v>
      </c>
      <c r="D9" s="13">
        <f t="shared" si="1"/>
        <v>0</v>
      </c>
      <c r="E9" s="13">
        <f t="shared" si="2"/>
        <v>0</v>
      </c>
      <c r="F9" s="13">
        <v>24</v>
      </c>
      <c r="G9" s="15" t="s">
        <v>14</v>
      </c>
      <c r="H9" s="13" cm="1">
        <f t="array" ref="H9">IF(G9="M",0,IF(G9="F",1,_xleta.N/A))</f>
        <v>1</v>
      </c>
      <c r="I9" s="14" t="s">
        <v>42</v>
      </c>
      <c r="J9" s="14" t="s">
        <v>12</v>
      </c>
      <c r="K9" s="13">
        <v>5</v>
      </c>
      <c r="L9" s="14" t="s">
        <v>31</v>
      </c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2" ht="16" x14ac:dyDescent="0.2">
      <c r="A10" s="12">
        <v>9</v>
      </c>
      <c r="B10" s="13" t="s">
        <v>61</v>
      </c>
      <c r="C10" s="13">
        <f t="shared" si="0"/>
        <v>1</v>
      </c>
      <c r="D10" s="13">
        <f t="shared" si="1"/>
        <v>0</v>
      </c>
      <c r="E10" s="13">
        <f t="shared" si="2"/>
        <v>0</v>
      </c>
      <c r="F10" s="13">
        <v>57</v>
      </c>
      <c r="G10" s="15" t="s">
        <v>14</v>
      </c>
      <c r="H10" s="13" cm="1">
        <f t="array" ref="H10">IF(G10="M",0,IF(G10="F",1,_xleta.N/A))</f>
        <v>1</v>
      </c>
      <c r="I10" s="14" t="s">
        <v>15</v>
      </c>
      <c r="J10" s="14" t="s">
        <v>16</v>
      </c>
      <c r="K10" s="13">
        <v>5</v>
      </c>
      <c r="L10" s="14" t="s">
        <v>17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2" ht="16" x14ac:dyDescent="0.2">
      <c r="A11" s="12">
        <v>10</v>
      </c>
      <c r="B11" s="13" t="s">
        <v>61</v>
      </c>
      <c r="C11" s="13">
        <f t="shared" si="0"/>
        <v>1</v>
      </c>
      <c r="D11" s="13">
        <f t="shared" si="1"/>
        <v>0</v>
      </c>
      <c r="E11" s="13">
        <f t="shared" si="2"/>
        <v>0</v>
      </c>
      <c r="F11" s="13">
        <v>21</v>
      </c>
      <c r="G11" s="15" t="s">
        <v>14</v>
      </c>
      <c r="H11" s="13" cm="1">
        <f t="array" ref="H11">IF(G11="M",0,IF(G11="F",1,_xleta.N/A))</f>
        <v>1</v>
      </c>
      <c r="I11" s="14" t="s">
        <v>42</v>
      </c>
      <c r="J11" s="14" t="s">
        <v>12</v>
      </c>
      <c r="K11" s="13">
        <v>4</v>
      </c>
      <c r="L11" s="14" t="s">
        <v>31</v>
      </c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spans="1:22" ht="16" x14ac:dyDescent="0.2">
      <c r="A12" s="12">
        <v>11</v>
      </c>
      <c r="B12" s="13" t="s">
        <v>61</v>
      </c>
      <c r="C12" s="13">
        <f t="shared" si="0"/>
        <v>1</v>
      </c>
      <c r="D12" s="13">
        <f t="shared" si="1"/>
        <v>0</v>
      </c>
      <c r="E12" s="13">
        <f t="shared" si="2"/>
        <v>0</v>
      </c>
      <c r="F12" s="13">
        <v>40</v>
      </c>
      <c r="G12" s="15" t="s">
        <v>10</v>
      </c>
      <c r="H12" s="13" cm="1">
        <f t="array" ref="H12">IF(G12="M",0,IF(G12="F",1,_xleta.N/A))</f>
        <v>0</v>
      </c>
      <c r="I12" s="14" t="s">
        <v>42</v>
      </c>
      <c r="J12" s="14" t="s">
        <v>12</v>
      </c>
      <c r="K12" s="13">
        <v>3</v>
      </c>
      <c r="L12" s="14" t="s">
        <v>13</v>
      </c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spans="1:22" ht="16" x14ac:dyDescent="0.2">
      <c r="A13" s="12">
        <v>12</v>
      </c>
      <c r="B13" s="13" t="s">
        <v>61</v>
      </c>
      <c r="C13" s="13">
        <f t="shared" si="0"/>
        <v>1</v>
      </c>
      <c r="D13" s="13">
        <f t="shared" si="1"/>
        <v>0</v>
      </c>
      <c r="E13" s="13">
        <f t="shared" si="2"/>
        <v>0</v>
      </c>
      <c r="F13" s="13">
        <v>27</v>
      </c>
      <c r="G13" s="15" t="s">
        <v>14</v>
      </c>
      <c r="H13" s="13" cm="1">
        <f t="array" ref="H13">IF(G13="M",0,IF(G13="F",1,_xleta.N/A))</f>
        <v>1</v>
      </c>
      <c r="I13" s="14" t="s">
        <v>42</v>
      </c>
      <c r="J13" s="14" t="s">
        <v>12</v>
      </c>
      <c r="K13" s="13">
        <v>4</v>
      </c>
      <c r="L13" s="14" t="s">
        <v>37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spans="1:22" ht="16" x14ac:dyDescent="0.2">
      <c r="A14" s="12">
        <v>13</v>
      </c>
      <c r="B14" s="13" t="s">
        <v>61</v>
      </c>
      <c r="C14" s="13">
        <f t="shared" si="0"/>
        <v>1</v>
      </c>
      <c r="D14" s="13">
        <f t="shared" si="1"/>
        <v>0</v>
      </c>
      <c r="E14" s="13">
        <f t="shared" si="2"/>
        <v>0</v>
      </c>
      <c r="F14" s="13">
        <v>42</v>
      </c>
      <c r="G14" s="15" t="s">
        <v>10</v>
      </c>
      <c r="H14" s="13" cm="1">
        <f t="array" ref="H14">IF(G14="M",0,IF(G14="F",1,_xleta.N/A))</f>
        <v>0</v>
      </c>
      <c r="I14" s="14" t="s">
        <v>46</v>
      </c>
      <c r="J14" s="14" t="s">
        <v>12</v>
      </c>
      <c r="K14" s="13">
        <v>3</v>
      </c>
      <c r="L14" s="14" t="s">
        <v>17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spans="1:22" ht="16" x14ac:dyDescent="0.2">
      <c r="A15" s="12">
        <v>14</v>
      </c>
      <c r="B15" s="13" t="s">
        <v>61</v>
      </c>
      <c r="C15" s="13">
        <f t="shared" si="0"/>
        <v>1</v>
      </c>
      <c r="D15" s="13">
        <f t="shared" si="1"/>
        <v>0</v>
      </c>
      <c r="E15" s="13">
        <f t="shared" si="2"/>
        <v>0</v>
      </c>
      <c r="F15" s="13">
        <v>38</v>
      </c>
      <c r="G15" s="15" t="s">
        <v>14</v>
      </c>
      <c r="H15" s="13" cm="1">
        <f t="array" ref="H15">IF(G15="M",0,IF(G15="F",1,_xleta.N/A))</f>
        <v>1</v>
      </c>
      <c r="I15" s="14" t="s">
        <v>46</v>
      </c>
      <c r="J15" s="14" t="s">
        <v>12</v>
      </c>
      <c r="K15" s="13">
        <v>2</v>
      </c>
      <c r="L15" s="14" t="s">
        <v>37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spans="1:22" ht="16" x14ac:dyDescent="0.2">
      <c r="A16" s="12">
        <v>15</v>
      </c>
      <c r="B16" s="13" t="s">
        <v>1</v>
      </c>
      <c r="C16" s="13">
        <f t="shared" si="0"/>
        <v>0</v>
      </c>
      <c r="D16" s="13">
        <f t="shared" si="1"/>
        <v>1</v>
      </c>
      <c r="E16" s="13">
        <f t="shared" si="2"/>
        <v>0</v>
      </c>
      <c r="F16" s="13">
        <v>30</v>
      </c>
      <c r="G16" s="15" t="s">
        <v>14</v>
      </c>
      <c r="H16" s="13" cm="1">
        <f t="array" ref="H16">IF(G16="M",0,IF(G16="F",1,_xleta.N/A))</f>
        <v>1</v>
      </c>
      <c r="I16" s="14" t="s">
        <v>15</v>
      </c>
      <c r="J16" s="14" t="s">
        <v>16</v>
      </c>
      <c r="K16" s="13">
        <v>1</v>
      </c>
      <c r="L16" s="14" t="s">
        <v>17</v>
      </c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1:22" ht="16" x14ac:dyDescent="0.2">
      <c r="A17" s="12">
        <v>16</v>
      </c>
      <c r="B17" s="13" t="s">
        <v>1</v>
      </c>
      <c r="C17" s="13">
        <f t="shared" si="0"/>
        <v>0</v>
      </c>
      <c r="D17" s="13">
        <f t="shared" si="1"/>
        <v>1</v>
      </c>
      <c r="E17" s="13">
        <f t="shared" si="2"/>
        <v>0</v>
      </c>
      <c r="F17" s="13">
        <v>22</v>
      </c>
      <c r="G17" s="15" t="s">
        <v>14</v>
      </c>
      <c r="H17" s="13" cm="1">
        <f t="array" ref="H17">IF(G17="M",0,IF(G17="F",1,_xleta.N/A))</f>
        <v>1</v>
      </c>
      <c r="I17" s="14" t="s">
        <v>15</v>
      </c>
      <c r="J17" s="14" t="s">
        <v>22</v>
      </c>
      <c r="K17" s="13">
        <v>1</v>
      </c>
      <c r="L17" s="14" t="s">
        <v>17</v>
      </c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1:22" ht="16" x14ac:dyDescent="0.2">
      <c r="A18" s="12">
        <v>17</v>
      </c>
      <c r="B18" s="13" t="s">
        <v>1</v>
      </c>
      <c r="C18" s="13">
        <f t="shared" si="0"/>
        <v>0</v>
      </c>
      <c r="D18" s="13">
        <f t="shared" si="1"/>
        <v>1</v>
      </c>
      <c r="E18" s="13">
        <f t="shared" si="2"/>
        <v>0</v>
      </c>
      <c r="F18" s="13">
        <v>45</v>
      </c>
      <c r="G18" s="15" t="s">
        <v>14</v>
      </c>
      <c r="H18" s="13" cm="1">
        <f t="array" ref="H18">IF(G18="M",0,IF(G18="F",1,_xleta.N/A))</f>
        <v>1</v>
      </c>
      <c r="I18" s="14" t="s">
        <v>27</v>
      </c>
      <c r="J18" s="14" t="s">
        <v>28</v>
      </c>
      <c r="K18" s="13">
        <v>2</v>
      </c>
      <c r="L18" s="14" t="s">
        <v>29</v>
      </c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spans="1:22" ht="16" x14ac:dyDescent="0.2">
      <c r="A19" s="12">
        <v>18</v>
      </c>
      <c r="B19" s="13" t="s">
        <v>1</v>
      </c>
      <c r="C19" s="13">
        <f t="shared" si="0"/>
        <v>0</v>
      </c>
      <c r="D19" s="13">
        <f t="shared" si="1"/>
        <v>1</v>
      </c>
      <c r="E19" s="13">
        <f t="shared" si="2"/>
        <v>0</v>
      </c>
      <c r="F19" s="13">
        <v>23</v>
      </c>
      <c r="G19" s="15" t="s">
        <v>14</v>
      </c>
      <c r="H19" s="13" cm="1">
        <f t="array" ref="H19">IF(G19="M",0,IF(G19="F",1,_xleta.N/A))</f>
        <v>1</v>
      </c>
      <c r="I19" s="14" t="s">
        <v>15</v>
      </c>
      <c r="J19" s="14" t="s">
        <v>22</v>
      </c>
      <c r="K19" s="13">
        <v>1</v>
      </c>
      <c r="L19" s="14" t="s">
        <v>17</v>
      </c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spans="1:22" ht="16" x14ac:dyDescent="0.2">
      <c r="A20" s="12">
        <v>19</v>
      </c>
      <c r="B20" s="13" t="s">
        <v>1</v>
      </c>
      <c r="C20" s="13">
        <f t="shared" si="0"/>
        <v>0</v>
      </c>
      <c r="D20" s="13">
        <f t="shared" si="1"/>
        <v>1</v>
      </c>
      <c r="E20" s="13">
        <f t="shared" si="2"/>
        <v>0</v>
      </c>
      <c r="F20" s="13">
        <v>42</v>
      </c>
      <c r="G20" s="15" t="s">
        <v>14</v>
      </c>
      <c r="H20" s="13" cm="1">
        <f t="array" ref="H20">IF(G20="M",0,IF(G20="F",1,_xleta.N/A))</f>
        <v>1</v>
      </c>
      <c r="I20" s="14" t="s">
        <v>25</v>
      </c>
      <c r="J20" s="14" t="s">
        <v>16</v>
      </c>
      <c r="K20" s="13">
        <v>5</v>
      </c>
      <c r="L20" s="14" t="s">
        <v>35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6" x14ac:dyDescent="0.2">
      <c r="A21" s="12">
        <v>20</v>
      </c>
      <c r="B21" s="13" t="s">
        <v>1</v>
      </c>
      <c r="C21" s="13">
        <f t="shared" si="0"/>
        <v>0</v>
      </c>
      <c r="D21" s="13">
        <f t="shared" si="1"/>
        <v>1</v>
      </c>
      <c r="E21" s="13">
        <f t="shared" si="2"/>
        <v>0</v>
      </c>
      <c r="F21" s="13">
        <v>40</v>
      </c>
      <c r="G21" s="15" t="s">
        <v>14</v>
      </c>
      <c r="H21" s="13" cm="1">
        <f t="array" ref="H21">IF(G21="M",0,IF(G21="F",1,_xleta.N/A))</f>
        <v>1</v>
      </c>
      <c r="I21" s="14" t="s">
        <v>15</v>
      </c>
      <c r="J21" s="14" t="s">
        <v>12</v>
      </c>
      <c r="K21" s="13">
        <v>1</v>
      </c>
      <c r="L21" s="14" t="s">
        <v>38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16" x14ac:dyDescent="0.2">
      <c r="A22" s="12">
        <v>21</v>
      </c>
      <c r="B22" s="13" t="s">
        <v>1</v>
      </c>
      <c r="C22" s="13">
        <f t="shared" si="0"/>
        <v>0</v>
      </c>
      <c r="D22" s="13">
        <f t="shared" si="1"/>
        <v>1</v>
      </c>
      <c r="E22" s="13">
        <f t="shared" si="2"/>
        <v>0</v>
      </c>
      <c r="F22" s="13">
        <v>21</v>
      </c>
      <c r="G22" s="15" t="s">
        <v>10</v>
      </c>
      <c r="H22" s="13" cm="1">
        <f t="array" ref="H22">IF(G22="M",0,IF(G22="F",1,_xleta.N/A))</f>
        <v>0</v>
      </c>
      <c r="I22" s="14" t="s">
        <v>25</v>
      </c>
      <c r="J22" s="14" t="s">
        <v>12</v>
      </c>
      <c r="K22" s="13">
        <v>3</v>
      </c>
      <c r="L22" s="14" t="s">
        <v>17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</row>
    <row r="23" spans="1:22" ht="16" x14ac:dyDescent="0.2">
      <c r="A23" s="12">
        <v>22</v>
      </c>
      <c r="B23" s="13" t="s">
        <v>1</v>
      </c>
      <c r="C23" s="13">
        <f t="shared" si="0"/>
        <v>0</v>
      </c>
      <c r="D23" s="13">
        <f t="shared" si="1"/>
        <v>1</v>
      </c>
      <c r="E23" s="13">
        <f t="shared" si="2"/>
        <v>0</v>
      </c>
      <c r="F23" s="13">
        <v>22</v>
      </c>
      <c r="G23" s="15" t="s">
        <v>14</v>
      </c>
      <c r="H23" s="13" cm="1">
        <f t="array" ref="H23">IF(G23="M",0,IF(G23="F",1,_xleta.N/A))</f>
        <v>1</v>
      </c>
      <c r="I23" s="14" t="s">
        <v>25</v>
      </c>
      <c r="J23" s="14" t="s">
        <v>22</v>
      </c>
      <c r="K23" s="13">
        <v>1</v>
      </c>
      <c r="L23" s="14" t="s">
        <v>17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spans="1:22" ht="16" x14ac:dyDescent="0.2">
      <c r="A24" s="12">
        <v>23</v>
      </c>
      <c r="B24" s="13" t="s">
        <v>1</v>
      </c>
      <c r="C24" s="13">
        <f t="shared" si="0"/>
        <v>0</v>
      </c>
      <c r="D24" s="13">
        <f t="shared" si="1"/>
        <v>1</v>
      </c>
      <c r="E24" s="13">
        <f t="shared" si="2"/>
        <v>0</v>
      </c>
      <c r="F24" s="13">
        <v>61</v>
      </c>
      <c r="G24" s="15" t="s">
        <v>10</v>
      </c>
      <c r="H24" s="13" cm="1">
        <f t="array" ref="H24">IF(G24="M",0,IF(G24="F",1,_xleta.N/A))</f>
        <v>0</v>
      </c>
      <c r="I24" s="14" t="s">
        <v>36</v>
      </c>
      <c r="J24" s="14" t="s">
        <v>16</v>
      </c>
      <c r="K24" s="13">
        <v>2</v>
      </c>
      <c r="L24" s="14" t="s">
        <v>19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spans="1:22" ht="16" x14ac:dyDescent="0.2">
      <c r="A25" s="12">
        <v>24</v>
      </c>
      <c r="B25" s="13" t="s">
        <v>1</v>
      </c>
      <c r="C25" s="13">
        <f t="shared" si="0"/>
        <v>0</v>
      </c>
      <c r="D25" s="13">
        <f t="shared" si="1"/>
        <v>1</v>
      </c>
      <c r="E25" s="13">
        <f t="shared" si="2"/>
        <v>0</v>
      </c>
      <c r="F25" s="13">
        <v>67</v>
      </c>
      <c r="G25" s="15" t="s">
        <v>10</v>
      </c>
      <c r="H25" s="13" cm="1">
        <f t="array" ref="H25">IF(G25="M",0,IF(G25="F",1,_xleta.N/A))</f>
        <v>0</v>
      </c>
      <c r="I25" s="14" t="s">
        <v>43</v>
      </c>
      <c r="J25" s="14" t="s">
        <v>16</v>
      </c>
      <c r="K25" s="13">
        <v>4</v>
      </c>
      <c r="L25" s="14" t="s">
        <v>44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spans="1:22" ht="16" x14ac:dyDescent="0.2">
      <c r="A26" s="12">
        <v>25</v>
      </c>
      <c r="B26" s="13" t="s">
        <v>1</v>
      </c>
      <c r="C26" s="13">
        <f t="shared" si="0"/>
        <v>0</v>
      </c>
      <c r="D26" s="13">
        <f t="shared" si="1"/>
        <v>1</v>
      </c>
      <c r="E26" s="13">
        <f t="shared" si="2"/>
        <v>0</v>
      </c>
      <c r="F26" s="13">
        <v>48</v>
      </c>
      <c r="G26" s="15" t="s">
        <v>10</v>
      </c>
      <c r="H26" s="13" cm="1">
        <f t="array" ref="H26">IF(G26="M",0,IF(G26="F",1,_xleta.N/A))</f>
        <v>0</v>
      </c>
      <c r="I26" s="14" t="s">
        <v>25</v>
      </c>
      <c r="J26" s="14" t="s">
        <v>16</v>
      </c>
      <c r="K26" s="13">
        <v>3</v>
      </c>
      <c r="L26" s="14" t="s">
        <v>44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1:22" ht="16" x14ac:dyDescent="0.2">
      <c r="A27" s="12">
        <v>26</v>
      </c>
      <c r="B27" s="13" t="s">
        <v>1</v>
      </c>
      <c r="C27" s="13">
        <f t="shared" si="0"/>
        <v>0</v>
      </c>
      <c r="D27" s="13">
        <f t="shared" si="1"/>
        <v>1</v>
      </c>
      <c r="E27" s="13">
        <f t="shared" si="2"/>
        <v>0</v>
      </c>
      <c r="F27" s="13">
        <v>52</v>
      </c>
      <c r="G27" s="15" t="s">
        <v>14</v>
      </c>
      <c r="H27" s="13" cm="1">
        <f t="array" ref="H27">IF(G27="M",0,IF(G27="F",1,_xleta.N/A))</f>
        <v>1</v>
      </c>
      <c r="I27" s="14" t="s">
        <v>15</v>
      </c>
      <c r="J27" s="14" t="s">
        <v>16</v>
      </c>
      <c r="K27" s="13">
        <v>1</v>
      </c>
      <c r="L27" s="14" t="s">
        <v>19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1:22" ht="16" x14ac:dyDescent="0.2">
      <c r="A28" s="12">
        <v>27</v>
      </c>
      <c r="B28" s="13" t="s">
        <v>1</v>
      </c>
      <c r="C28" s="13">
        <f t="shared" si="0"/>
        <v>0</v>
      </c>
      <c r="D28" s="13">
        <f t="shared" si="1"/>
        <v>1</v>
      </c>
      <c r="E28" s="13">
        <f t="shared" si="2"/>
        <v>0</v>
      </c>
      <c r="F28" s="13">
        <v>64</v>
      </c>
      <c r="G28" s="15" t="s">
        <v>10</v>
      </c>
      <c r="H28" s="13" cm="1">
        <f t="array" ref="H28">IF(G28="M",0,IF(G28="F",1,_xleta.N/A))</f>
        <v>0</v>
      </c>
      <c r="I28" s="14" t="s">
        <v>36</v>
      </c>
      <c r="J28" s="14" t="s">
        <v>22</v>
      </c>
      <c r="K28" s="13">
        <v>1</v>
      </c>
      <c r="L28" s="14" t="s">
        <v>38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ht="16" x14ac:dyDescent="0.2">
      <c r="A29" s="12">
        <v>28</v>
      </c>
      <c r="B29" s="13" t="s">
        <v>1</v>
      </c>
      <c r="C29" s="13">
        <f t="shared" si="0"/>
        <v>0</v>
      </c>
      <c r="D29" s="13">
        <f t="shared" si="1"/>
        <v>1</v>
      </c>
      <c r="E29" s="13">
        <f t="shared" si="2"/>
        <v>0</v>
      </c>
      <c r="F29" s="13">
        <v>28</v>
      </c>
      <c r="G29" s="15" t="s">
        <v>14</v>
      </c>
      <c r="H29" s="13" cm="1">
        <f t="array" ref="H29">IF(G29="M",0,IF(G29="F",1,_xleta.N/A))</f>
        <v>1</v>
      </c>
      <c r="I29" s="14" t="s">
        <v>25</v>
      </c>
      <c r="J29" s="14" t="s">
        <v>12</v>
      </c>
      <c r="K29" s="13">
        <v>3</v>
      </c>
      <c r="L29" s="14" t="s">
        <v>17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1:22" ht="16" x14ac:dyDescent="0.2">
      <c r="A30" s="12">
        <v>29</v>
      </c>
      <c r="B30" s="13" t="s">
        <v>2</v>
      </c>
      <c r="C30" s="13">
        <f t="shared" si="0"/>
        <v>0</v>
      </c>
      <c r="D30" s="13">
        <f t="shared" si="1"/>
        <v>0</v>
      </c>
      <c r="E30" s="13">
        <f t="shared" si="2"/>
        <v>1</v>
      </c>
      <c r="F30" s="13">
        <v>68</v>
      </c>
      <c r="G30" s="15" t="s">
        <v>10</v>
      </c>
      <c r="H30" s="13" cm="1">
        <f t="array" ref="H30">IF(G30="M",0,IF(G30="F",1,_xleta.N/A))</f>
        <v>0</v>
      </c>
      <c r="I30" s="14" t="s">
        <v>18</v>
      </c>
      <c r="J30" s="14" t="s">
        <v>16</v>
      </c>
      <c r="K30" s="13">
        <v>3</v>
      </c>
      <c r="L30" s="14" t="s">
        <v>19</v>
      </c>
      <c r="M30" s="10"/>
      <c r="N30" s="10"/>
      <c r="O30" s="10"/>
      <c r="P30" s="10"/>
      <c r="Q30" s="10"/>
      <c r="R30" s="10"/>
      <c r="S30" s="10"/>
      <c r="T30" s="10"/>
      <c r="U30" s="10"/>
      <c r="V30" s="10"/>
    </row>
    <row r="31" spans="1:22" ht="16" x14ac:dyDescent="0.2">
      <c r="A31" s="12">
        <v>30</v>
      </c>
      <c r="B31" s="13" t="s">
        <v>2</v>
      </c>
      <c r="C31" s="13">
        <f t="shared" si="0"/>
        <v>0</v>
      </c>
      <c r="D31" s="13">
        <f t="shared" si="1"/>
        <v>0</v>
      </c>
      <c r="E31" s="13">
        <f t="shared" si="2"/>
        <v>1</v>
      </c>
      <c r="F31" s="13">
        <v>23</v>
      </c>
      <c r="G31" s="15" t="s">
        <v>10</v>
      </c>
      <c r="H31" s="13" cm="1">
        <f t="array" ref="H31">IF(G31="M",0,IF(G31="F",1,_xleta.N/A))</f>
        <v>0</v>
      </c>
      <c r="I31" s="14" t="s">
        <v>23</v>
      </c>
      <c r="J31" s="14" t="s">
        <v>12</v>
      </c>
      <c r="K31" s="13">
        <v>2</v>
      </c>
      <c r="L31" s="14" t="s">
        <v>24</v>
      </c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spans="1:22" ht="16" x14ac:dyDescent="0.2">
      <c r="A32" s="12">
        <v>31</v>
      </c>
      <c r="B32" s="13" t="s">
        <v>2</v>
      </c>
      <c r="C32" s="13">
        <f t="shared" si="0"/>
        <v>0</v>
      </c>
      <c r="D32" s="13">
        <f t="shared" si="1"/>
        <v>0</v>
      </c>
      <c r="E32" s="13">
        <f t="shared" si="2"/>
        <v>1</v>
      </c>
      <c r="F32" s="13">
        <v>33</v>
      </c>
      <c r="G32" s="15" t="s">
        <v>14</v>
      </c>
      <c r="H32" s="13" cm="1">
        <f t="array" ref="H32">IF(G32="M",0,IF(G32="F",1,_xleta.N/A))</f>
        <v>1</v>
      </c>
      <c r="I32" s="14" t="s">
        <v>30</v>
      </c>
      <c r="J32" s="14" t="s">
        <v>12</v>
      </c>
      <c r="K32" s="13">
        <v>3</v>
      </c>
      <c r="L32" s="14" t="s">
        <v>31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spans="1:22" ht="16" x14ac:dyDescent="0.2">
      <c r="A33" s="12">
        <v>32</v>
      </c>
      <c r="B33" s="13" t="s">
        <v>2</v>
      </c>
      <c r="C33" s="13">
        <f t="shared" si="0"/>
        <v>0</v>
      </c>
      <c r="D33" s="13">
        <f t="shared" si="1"/>
        <v>0</v>
      </c>
      <c r="E33" s="13">
        <f t="shared" si="2"/>
        <v>1</v>
      </c>
      <c r="F33" s="13">
        <v>65</v>
      </c>
      <c r="G33" s="15" t="s">
        <v>14</v>
      </c>
      <c r="H33" s="13" cm="1">
        <f t="array" ref="H33">IF(G33="M",0,IF(G33="F",1,_xleta.N/A))</f>
        <v>1</v>
      </c>
      <c r="I33" s="14" t="s">
        <v>32</v>
      </c>
      <c r="J33" s="14" t="s">
        <v>12</v>
      </c>
      <c r="K33" s="13">
        <v>3</v>
      </c>
      <c r="L33" s="14" t="s">
        <v>31</v>
      </c>
      <c r="M33" s="10"/>
      <c r="N33" s="10"/>
      <c r="O33" s="10"/>
      <c r="P33" s="10"/>
      <c r="Q33" s="10"/>
      <c r="R33" s="10"/>
      <c r="S33" s="10"/>
      <c r="T33" s="10"/>
      <c r="U33" s="10"/>
      <c r="V33" s="10"/>
    </row>
    <row r="34" spans="1:22" ht="16" x14ac:dyDescent="0.2">
      <c r="A34" s="12">
        <v>33</v>
      </c>
      <c r="B34" s="13" t="s">
        <v>2</v>
      </c>
      <c r="C34" s="13">
        <f t="shared" si="0"/>
        <v>0</v>
      </c>
      <c r="D34" s="13">
        <f t="shared" si="1"/>
        <v>0</v>
      </c>
      <c r="E34" s="13">
        <f t="shared" si="2"/>
        <v>1</v>
      </c>
      <c r="F34" s="13">
        <v>59</v>
      </c>
      <c r="G34" s="15" t="s">
        <v>14</v>
      </c>
      <c r="H34" s="13" cm="1">
        <f t="array" ref="H34">IF(G34="M",0,IF(G34="F",1,_xleta.N/A))</f>
        <v>1</v>
      </c>
      <c r="I34" s="14" t="s">
        <v>36</v>
      </c>
      <c r="J34" s="14" t="s">
        <v>16</v>
      </c>
      <c r="K34" s="13">
        <v>2</v>
      </c>
      <c r="L34" s="14" t="s">
        <v>31</v>
      </c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spans="1:22" ht="16" x14ac:dyDescent="0.2">
      <c r="A35" s="12">
        <v>34</v>
      </c>
      <c r="B35" s="13" t="s">
        <v>2</v>
      </c>
      <c r="C35" s="13">
        <f t="shared" si="0"/>
        <v>0</v>
      </c>
      <c r="D35" s="13">
        <f t="shared" si="1"/>
        <v>0</v>
      </c>
      <c r="E35" s="13">
        <f t="shared" si="2"/>
        <v>1</v>
      </c>
      <c r="F35" s="13">
        <v>51</v>
      </c>
      <c r="G35" s="15" t="s">
        <v>14</v>
      </c>
      <c r="H35" s="13" cm="1">
        <f t="array" ref="H35">IF(G35="M",0,IF(G35="F",1,_xleta.N/A))</f>
        <v>1</v>
      </c>
      <c r="I35" s="14" t="s">
        <v>32</v>
      </c>
      <c r="J35" s="14" t="s">
        <v>39</v>
      </c>
      <c r="K35" s="13">
        <v>2</v>
      </c>
      <c r="L35" s="14" t="s">
        <v>35</v>
      </c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6" x14ac:dyDescent="0.2">
      <c r="A36" s="12">
        <v>35</v>
      </c>
      <c r="B36" s="13" t="s">
        <v>2</v>
      </c>
      <c r="C36" s="13">
        <f t="shared" si="0"/>
        <v>0</v>
      </c>
      <c r="D36" s="13">
        <f t="shared" si="1"/>
        <v>0</v>
      </c>
      <c r="E36" s="13">
        <f t="shared" si="2"/>
        <v>1</v>
      </c>
      <c r="F36" s="13">
        <v>75</v>
      </c>
      <c r="G36" s="15" t="s">
        <v>10</v>
      </c>
      <c r="H36" s="13" cm="1">
        <f t="array" ref="H36">IF(G36="M",0,IF(G36="F",1,_xleta.N/A))</f>
        <v>0</v>
      </c>
      <c r="I36" s="14" t="s">
        <v>41</v>
      </c>
      <c r="J36" s="14" t="s">
        <v>16</v>
      </c>
      <c r="K36" s="13">
        <v>3</v>
      </c>
      <c r="L36" s="14" t="s">
        <v>67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spans="1:22" ht="16" x14ac:dyDescent="0.2">
      <c r="A37" s="12">
        <v>36</v>
      </c>
      <c r="B37" s="13" t="s">
        <v>2</v>
      </c>
      <c r="C37" s="13">
        <f t="shared" si="0"/>
        <v>0</v>
      </c>
      <c r="D37" s="13">
        <f t="shared" si="1"/>
        <v>0</v>
      </c>
      <c r="E37" s="13">
        <f t="shared" si="2"/>
        <v>1</v>
      </c>
      <c r="F37" s="13">
        <v>32</v>
      </c>
      <c r="G37" s="15" t="s">
        <v>10</v>
      </c>
      <c r="H37" s="13" cm="1">
        <f t="array" ref="H37">IF(G37="M",0,IF(G37="F",1,_xleta.N/A))</f>
        <v>0</v>
      </c>
      <c r="I37" s="14" t="s">
        <v>25</v>
      </c>
      <c r="J37" s="14" t="s">
        <v>16</v>
      </c>
      <c r="K37" s="13">
        <v>3</v>
      </c>
      <c r="L37" s="14" t="s">
        <v>17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spans="1:22" ht="16" x14ac:dyDescent="0.2">
      <c r="A38" s="12">
        <v>37</v>
      </c>
      <c r="B38" s="13" t="s">
        <v>2</v>
      </c>
      <c r="C38" s="13">
        <f t="shared" si="0"/>
        <v>0</v>
      </c>
      <c r="D38" s="13">
        <f t="shared" si="1"/>
        <v>0</v>
      </c>
      <c r="E38" s="13">
        <f t="shared" si="2"/>
        <v>1</v>
      </c>
      <c r="F38" s="13">
        <v>40</v>
      </c>
      <c r="G38" s="15" t="s">
        <v>14</v>
      </c>
      <c r="H38" s="13" cm="1">
        <f t="array" ref="H38">IF(G38="M",0,IF(G38="F",1,_xleta.N/A))</f>
        <v>1</v>
      </c>
      <c r="I38" s="14" t="s">
        <v>15</v>
      </c>
      <c r="J38" s="14" t="s">
        <v>16</v>
      </c>
      <c r="K38" s="13">
        <v>3</v>
      </c>
      <c r="L38" s="14" t="s">
        <v>24</v>
      </c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 ht="16" x14ac:dyDescent="0.2">
      <c r="A39" s="12">
        <v>38</v>
      </c>
      <c r="B39" s="13" t="s">
        <v>2</v>
      </c>
      <c r="C39" s="13">
        <f t="shared" si="0"/>
        <v>0</v>
      </c>
      <c r="D39" s="13">
        <f t="shared" si="1"/>
        <v>0</v>
      </c>
      <c r="E39" s="13">
        <f t="shared" si="2"/>
        <v>1</v>
      </c>
      <c r="F39" s="13">
        <v>40</v>
      </c>
      <c r="G39" s="15" t="s">
        <v>10</v>
      </c>
      <c r="H39" s="13" cm="1">
        <f t="array" ref="H39">IF(G39="M",0,IF(G39="F",1,_xleta.N/A))</f>
        <v>0</v>
      </c>
      <c r="I39" s="14" t="s">
        <v>36</v>
      </c>
      <c r="J39" s="14" t="s">
        <v>16</v>
      </c>
      <c r="K39" s="13">
        <v>3</v>
      </c>
      <c r="L39" s="14" t="s">
        <v>31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 ht="16" x14ac:dyDescent="0.2">
      <c r="A40" s="12">
        <v>39</v>
      </c>
      <c r="B40" s="13" t="s">
        <v>2</v>
      </c>
      <c r="C40" s="13">
        <f t="shared" si="0"/>
        <v>0</v>
      </c>
      <c r="D40" s="13">
        <f t="shared" si="1"/>
        <v>0</v>
      </c>
      <c r="E40" s="13">
        <f t="shared" si="2"/>
        <v>1</v>
      </c>
      <c r="F40" s="13">
        <v>35</v>
      </c>
      <c r="G40" s="15" t="s">
        <v>14</v>
      </c>
      <c r="H40" s="13" cm="1">
        <f t="array" ref="H40">IF(G40="M",0,IF(G40="F",1,_xleta.N/A))</f>
        <v>1</v>
      </c>
      <c r="I40" s="14" t="s">
        <v>45</v>
      </c>
      <c r="J40" s="14" t="s">
        <v>16</v>
      </c>
      <c r="K40" s="13">
        <v>3</v>
      </c>
      <c r="L40" s="14" t="s">
        <v>24</v>
      </c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 ht="16" x14ac:dyDescent="0.2">
      <c r="A41" s="12">
        <v>40</v>
      </c>
      <c r="B41" s="13" t="s">
        <v>2</v>
      </c>
      <c r="C41" s="13">
        <f t="shared" si="0"/>
        <v>0</v>
      </c>
      <c r="D41" s="13">
        <f t="shared" si="1"/>
        <v>0</v>
      </c>
      <c r="E41" s="13">
        <f t="shared" si="2"/>
        <v>1</v>
      </c>
      <c r="F41" s="13">
        <v>44</v>
      </c>
      <c r="G41" s="15" t="s">
        <v>14</v>
      </c>
      <c r="H41" s="13" cm="1">
        <f t="array" ref="H41">IF(G41="M",0,IF(G41="F",1,_xleta.N/A))</f>
        <v>1</v>
      </c>
      <c r="I41" s="14" t="s">
        <v>45</v>
      </c>
      <c r="J41" s="14" t="s">
        <v>22</v>
      </c>
      <c r="K41" s="13">
        <v>4</v>
      </c>
      <c r="L41" s="14" t="s">
        <v>31</v>
      </c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spans="1:22" ht="16" x14ac:dyDescent="0.2">
      <c r="A42" s="12">
        <v>41</v>
      </c>
      <c r="B42" s="13" t="s">
        <v>2</v>
      </c>
      <c r="C42" s="13">
        <f t="shared" si="0"/>
        <v>0</v>
      </c>
      <c r="D42" s="13">
        <f t="shared" si="1"/>
        <v>0</v>
      </c>
      <c r="E42" s="13">
        <f t="shared" si="2"/>
        <v>1</v>
      </c>
      <c r="F42" s="13">
        <v>67</v>
      </c>
      <c r="G42" s="15" t="s">
        <v>14</v>
      </c>
      <c r="H42" s="13" cm="1">
        <f t="array" ref="H42">IF(G42="M",0,IF(G42="F",1,_xleta.N/A))</f>
        <v>1</v>
      </c>
      <c r="I42" s="14" t="s">
        <v>47</v>
      </c>
      <c r="J42" s="14" t="s">
        <v>12</v>
      </c>
      <c r="K42" s="13">
        <v>6</v>
      </c>
      <c r="L42" s="14" t="s">
        <v>24</v>
      </c>
      <c r="M42" s="10"/>
      <c r="N42" s="10"/>
      <c r="O42" s="10"/>
      <c r="P42" s="10"/>
      <c r="Q42" s="10"/>
      <c r="R42" s="10"/>
      <c r="S42" s="10"/>
      <c r="T42" s="10"/>
      <c r="U42" s="10"/>
      <c r="V4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15C6-3D18-42E1-A3B7-3C380B2626E8}">
  <dimension ref="A1:B14"/>
  <sheetViews>
    <sheetView workbookViewId="0">
      <selection activeCell="B14" sqref="A1:B14"/>
    </sheetView>
  </sheetViews>
  <sheetFormatPr baseColWidth="10" defaultColWidth="8.83203125" defaultRowHeight="15" x14ac:dyDescent="0.2"/>
  <cols>
    <col min="1" max="1" width="19" bestFit="1" customWidth="1"/>
  </cols>
  <sheetData>
    <row r="1" spans="1:2" x14ac:dyDescent="0.2">
      <c r="A1" s="18" t="s">
        <v>59</v>
      </c>
      <c r="B1" s="18" t="s">
        <v>68</v>
      </c>
    </row>
    <row r="2" spans="1:2" x14ac:dyDescent="0.2">
      <c r="A2" s="18">
        <v>1</v>
      </c>
      <c r="B2" s="17">
        <v>3.8</v>
      </c>
    </row>
    <row r="3" spans="1:2" x14ac:dyDescent="0.2">
      <c r="A3" s="18">
        <v>1</v>
      </c>
      <c r="B3" s="17">
        <v>3.5</v>
      </c>
    </row>
    <row r="4" spans="1:2" x14ac:dyDescent="0.2">
      <c r="A4" s="18">
        <v>1</v>
      </c>
      <c r="B4" s="17">
        <v>4</v>
      </c>
    </row>
    <row r="5" spans="1:2" x14ac:dyDescent="0.2">
      <c r="A5" s="18">
        <v>1</v>
      </c>
      <c r="B5" s="17">
        <v>3.5</v>
      </c>
    </row>
    <row r="6" spans="1:2" x14ac:dyDescent="0.2">
      <c r="A6" s="18">
        <v>1</v>
      </c>
      <c r="B6" s="17">
        <v>3</v>
      </c>
    </row>
    <row r="7" spans="1:2" x14ac:dyDescent="0.2">
      <c r="A7" s="18">
        <v>2</v>
      </c>
      <c r="B7" s="17">
        <v>3</v>
      </c>
    </row>
    <row r="8" spans="1:2" x14ac:dyDescent="0.2">
      <c r="A8" s="18">
        <v>2</v>
      </c>
      <c r="B8" s="17">
        <v>3</v>
      </c>
    </row>
    <row r="9" spans="1:2" x14ac:dyDescent="0.2">
      <c r="A9" s="18">
        <v>2</v>
      </c>
      <c r="B9" s="17">
        <v>4.5</v>
      </c>
    </row>
    <row r="10" spans="1:2" x14ac:dyDescent="0.2">
      <c r="A10" s="18">
        <v>2</v>
      </c>
      <c r="B10" s="17">
        <v>4</v>
      </c>
    </row>
    <row r="11" spans="1:2" x14ac:dyDescent="0.2">
      <c r="A11" s="18">
        <v>3</v>
      </c>
      <c r="B11" s="17">
        <v>3.5</v>
      </c>
    </row>
    <row r="12" spans="1:2" x14ac:dyDescent="0.2">
      <c r="A12" s="18">
        <v>3</v>
      </c>
      <c r="B12" s="17">
        <v>4</v>
      </c>
    </row>
    <row r="13" spans="1:2" x14ac:dyDescent="0.2">
      <c r="A13" s="18">
        <v>3</v>
      </c>
      <c r="B13" s="17">
        <v>2.8</v>
      </c>
    </row>
    <row r="14" spans="1:2" x14ac:dyDescent="0.2">
      <c r="A14" s="18">
        <v>3</v>
      </c>
      <c r="B14" s="1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C8C850EE039043A83E5F21634A0158" ma:contentTypeVersion="12" ma:contentTypeDescription="Crear nuevo documento." ma:contentTypeScope="" ma:versionID="6bab95a3c05580e386521d48db3bcde5">
  <xsd:schema xmlns:xsd="http://www.w3.org/2001/XMLSchema" xmlns:xs="http://www.w3.org/2001/XMLSchema" xmlns:p="http://schemas.microsoft.com/office/2006/metadata/properties" xmlns:ns2="2083cedf-2e38-4007-a4e0-b6b21b7d0168" xmlns:ns3="4a0111ad-e6cf-4526-9950-5f1aa83e9f1a" targetNamespace="http://schemas.microsoft.com/office/2006/metadata/properties" ma:root="true" ma:fieldsID="039f46e39816258579da82509326ba6d" ns2:_="" ns3:_="">
    <xsd:import namespace="2083cedf-2e38-4007-a4e0-b6b21b7d0168"/>
    <xsd:import namespace="4a0111ad-e6cf-4526-9950-5f1aa83e9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cedf-2e38-4007-a4e0-b6b21b7d01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11ad-e6cf-4526-9950-5f1aa83e9f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60e88c-b85e-4629-aede-884aa6e98378}" ma:internalName="TaxCatchAll" ma:showField="CatchAllData" ma:web="4a0111ad-e6cf-4526-9950-5f1aa83e9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83cedf-2e38-4007-a4e0-b6b21b7d0168">
      <Terms xmlns="http://schemas.microsoft.com/office/infopath/2007/PartnerControls"/>
    </lcf76f155ced4ddcb4097134ff3c332f>
    <TaxCatchAll xmlns="4a0111ad-e6cf-4526-9950-5f1aa83e9f1a" xsi:nil="true"/>
  </documentManagement>
</p:properties>
</file>

<file path=customXml/itemProps1.xml><?xml version="1.0" encoding="utf-8"?>
<ds:datastoreItem xmlns:ds="http://schemas.openxmlformats.org/officeDocument/2006/customXml" ds:itemID="{03E1BEA9-4DDE-49FB-8ECD-43A69A8D24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BED12D-07D6-433C-9DD4-9C30B3D45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83cedf-2e38-4007-a4e0-b6b21b7d0168"/>
    <ds:schemaRef ds:uri="4a0111ad-e6cf-4526-9950-5f1aa83e9f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9865E1-9A90-4A89-9502-7C9915C41D28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2083cedf-2e38-4007-a4e0-b6b21b7d0168"/>
    <ds:schemaRef ds:uri="http://schemas.openxmlformats.org/package/2006/metadata/core-properties"/>
    <ds:schemaRef ds:uri="4a0111ad-e6cf-4526-9950-5f1aa83e9f1a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Información Sociodemográfia</vt:lpstr>
      <vt:lpstr>Organizada</vt:lpstr>
      <vt:lpstr>Puntaje Dietas - Barreras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Harold Cardona Trujillo</cp:lastModifiedBy>
  <cp:revision/>
  <dcterms:created xsi:type="dcterms:W3CDTF">2024-07-23T15:47:41Z</dcterms:created>
  <dcterms:modified xsi:type="dcterms:W3CDTF">2024-10-11T15:04:50Z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0x0101001FC8C850EE039043A83E5F21634A0158</vt:lpwstr>
  </property>
  <property fmtid="{D5CDD505-2E9C-101B-9397-08002B2CF9AE}" pid="3" name="MediaServiceImageTags">
    <vt:lpwstr/>
  </property>
</Properties>
</file>