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https://eafit.sharepoint.com/sites/PercepcionesdietaenAntioquia/Documentos compartidos/General/Analisis_Cuanti_new/"/>
    </mc:Choice>
  </mc:AlternateContent>
  <xr:revisionPtr revIDLastSave="3517" documentId="8_{141A9D42-B5CE-2144-9A00-BE15D8DC9853}" xr6:coauthVersionLast="47" xr6:coauthVersionMax="47" xr10:uidLastSave="{7A616E7B-C3A1-0C48-8D9E-00D4735EE051}"/>
  <bookViews>
    <workbookView xWindow="0" yWindow="760" windowWidth="34560" windowHeight="19940" activeTab="6" xr2:uid="{F748B84B-BA52-CC4A-B4BA-6F2546FE2E0E}"/>
  </bookViews>
  <sheets>
    <sheet name="Duplicada" sheetId="10" state="hidden" r:id="rId1"/>
    <sheet name="Diccionario de datos" sheetId="13" r:id="rId2"/>
    <sheet name="Información sociodemografica" sheetId="14" r:id="rId3"/>
    <sheet name="Gramaje" sheetId="7" r:id="rId4"/>
    <sheet name="GABAS" sheetId="17" r:id="rId5"/>
    <sheet name="GABAS_Referencias" sheetId="18" r:id="rId6"/>
    <sheet name="RIEN" sheetId="20" r:id="rId7"/>
    <sheet name="equiv_table_GABAS" sheetId="19" r:id="rId8"/>
    <sheet name="Puntaje Dietas" sheetId="15" r:id="rId9"/>
    <sheet name="Taller EAFIT" sheetId="16" r:id="rId10"/>
    <sheet name="Taller Guarne" sheetId="11" r:id="rId11"/>
    <sheet name="Taller Santa Rosa" sheetId="12" r:id="rId12"/>
  </sheets>
  <definedNames>
    <definedName name="_xlnm._FilterDatabase" localSheetId="3" hidden="1">Gramaje!$A$1:$AE$243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0" l="1"/>
  <c r="M4" i="20"/>
  <c r="M3" i="20"/>
  <c r="L4" i="20"/>
  <c r="L3" i="20"/>
  <c r="L2" i="20"/>
  <c r="I4" i="20"/>
  <c r="I3" i="20"/>
  <c r="I2" i="20"/>
  <c r="D3" i="20"/>
  <c r="D4" i="20"/>
  <c r="C3" i="20"/>
  <c r="C4" i="20"/>
  <c r="D2" i="20"/>
  <c r="C2" i="20"/>
  <c r="E3" i="18"/>
  <c r="E4" i="18"/>
  <c r="E5" i="18"/>
  <c r="E6" i="18"/>
  <c r="E7" i="18"/>
  <c r="E2" i="18"/>
  <c r="L18" i="7"/>
  <c r="A11" i="17"/>
  <c r="A12" i="17" s="1"/>
  <c r="A13" i="17" s="1"/>
  <c r="A14" i="17" s="1"/>
  <c r="A15" i="17" s="1"/>
  <c r="A16" i="17" s="1"/>
  <c r="A17" i="17" s="1"/>
  <c r="A18" i="17" s="1"/>
  <c r="AD39" i="7"/>
  <c r="AB39" i="7"/>
  <c r="Z39" i="7"/>
  <c r="X39" i="7"/>
  <c r="V39" i="7"/>
  <c r="T39" i="7"/>
  <c r="R39" i="7"/>
  <c r="P39" i="7"/>
  <c r="L223" i="7"/>
  <c r="M223" i="7" s="1"/>
  <c r="L55" i="7"/>
  <c r="M55" i="7" s="1"/>
  <c r="L232" i="7"/>
  <c r="M232" i="7" s="1"/>
  <c r="L228" i="7"/>
  <c r="M228" i="7" s="1"/>
  <c r="L222" i="7"/>
  <c r="M222" i="7" s="1"/>
  <c r="L231" i="7"/>
  <c r="M231" i="7" s="1"/>
  <c r="Z231" i="7" s="1"/>
  <c r="L238" i="7"/>
  <c r="M238" i="7" s="1"/>
  <c r="L233" i="7"/>
  <c r="M233" i="7" s="1"/>
  <c r="L237" i="7"/>
  <c r="M237" i="7" s="1"/>
  <c r="L242" i="7"/>
  <c r="M242" i="7" s="1"/>
  <c r="Z242" i="7" s="1"/>
  <c r="L235" i="7"/>
  <c r="M235" i="7" s="1"/>
  <c r="L236" i="7"/>
  <c r="M236" i="7" s="1"/>
  <c r="L240" i="7"/>
  <c r="M240" i="7" s="1"/>
  <c r="L234" i="7"/>
  <c r="M234" i="7" s="1"/>
  <c r="L243" i="7"/>
  <c r="M243" i="7" s="1"/>
  <c r="L224" i="7"/>
  <c r="M224" i="7" s="1"/>
  <c r="L230" i="7"/>
  <c r="M230" i="7" s="1"/>
  <c r="Z230" i="7" s="1"/>
  <c r="L219" i="7"/>
  <c r="M219" i="7" s="1"/>
  <c r="G219" i="7"/>
  <c r="L226" i="7"/>
  <c r="M226" i="7" s="1"/>
  <c r="L239" i="7"/>
  <c r="M239" i="7" s="1"/>
  <c r="L221" i="7"/>
  <c r="M221" i="7" s="1"/>
  <c r="L229" i="7"/>
  <c r="M229" i="7" s="1"/>
  <c r="L225" i="7"/>
  <c r="M225" i="7" s="1"/>
  <c r="L241" i="7"/>
  <c r="M241" i="7" s="1"/>
  <c r="L220" i="7"/>
  <c r="M220" i="7" s="1"/>
  <c r="L227" i="7"/>
  <c r="M227" i="7" s="1"/>
  <c r="L208" i="7"/>
  <c r="M208" i="7" s="1"/>
  <c r="L202" i="7"/>
  <c r="M202" i="7" s="1"/>
  <c r="L205" i="7"/>
  <c r="M205" i="7" s="1"/>
  <c r="L217" i="7"/>
  <c r="M217" i="7" s="1"/>
  <c r="L216" i="7"/>
  <c r="M216" i="7" s="1"/>
  <c r="L210" i="7"/>
  <c r="M210" i="7" s="1"/>
  <c r="L204" i="7"/>
  <c r="M204" i="7" s="1"/>
  <c r="L214" i="7"/>
  <c r="M214" i="7" s="1"/>
  <c r="L199" i="7"/>
  <c r="M199" i="7" s="1"/>
  <c r="L218" i="7"/>
  <c r="M218" i="7" s="1"/>
  <c r="L206" i="7"/>
  <c r="M206" i="7" s="1"/>
  <c r="L215" i="7"/>
  <c r="M215" i="7" s="1"/>
  <c r="L201" i="7"/>
  <c r="M201" i="7" s="1"/>
  <c r="L198" i="7"/>
  <c r="M198" i="7" s="1"/>
  <c r="L213" i="7"/>
  <c r="M213" i="7" s="1"/>
  <c r="L209" i="7"/>
  <c r="M209" i="7" s="1"/>
  <c r="L197" i="7"/>
  <c r="M197" i="7" s="1"/>
  <c r="L212" i="7"/>
  <c r="M212" i="7" s="1"/>
  <c r="L211" i="7"/>
  <c r="M211" i="7" s="1"/>
  <c r="L200" i="7"/>
  <c r="M200" i="7" s="1"/>
  <c r="L203" i="7"/>
  <c r="M203" i="7" s="1"/>
  <c r="L207" i="7"/>
  <c r="M207" i="7" s="1"/>
  <c r="L177" i="7"/>
  <c r="M177" i="7" s="1"/>
  <c r="L193" i="7"/>
  <c r="M193" i="7" s="1"/>
  <c r="L186" i="7"/>
  <c r="M186" i="7" s="1"/>
  <c r="L173" i="7"/>
  <c r="M173" i="7" s="1"/>
  <c r="L195" i="7"/>
  <c r="M195" i="7" s="1"/>
  <c r="L182" i="7"/>
  <c r="M182" i="7" s="1"/>
  <c r="Z182" i="7" s="1"/>
  <c r="L165" i="7"/>
  <c r="M165" i="7" s="1"/>
  <c r="L185" i="7"/>
  <c r="M185" i="7" s="1"/>
  <c r="L190" i="7"/>
  <c r="M190" i="7" s="1"/>
  <c r="L166" i="7"/>
  <c r="M166" i="7" s="1"/>
  <c r="L178" i="7"/>
  <c r="M178" i="7" s="1"/>
  <c r="L169" i="7"/>
  <c r="M169" i="7" s="1"/>
  <c r="L189" i="7"/>
  <c r="M189" i="7" s="1"/>
  <c r="L181" i="7"/>
  <c r="M181" i="7" s="1"/>
  <c r="L171" i="7"/>
  <c r="M171" i="7" s="1"/>
  <c r="L196" i="7"/>
  <c r="M196" i="7" s="1"/>
  <c r="L176" i="7"/>
  <c r="M176" i="7" s="1"/>
  <c r="L167" i="7"/>
  <c r="M167" i="7" s="1"/>
  <c r="G167" i="7"/>
  <c r="L172" i="7"/>
  <c r="M172" i="7" s="1"/>
  <c r="L191" i="7"/>
  <c r="M191" i="7" s="1"/>
  <c r="L170" i="7"/>
  <c r="M170" i="7" s="1"/>
  <c r="L175" i="7"/>
  <c r="M175" i="7" s="1"/>
  <c r="P175" i="7" s="1"/>
  <c r="L187" i="7"/>
  <c r="M187" i="7" s="1"/>
  <c r="L183" i="7"/>
  <c r="M183" i="7" s="1"/>
  <c r="L184" i="7"/>
  <c r="M184" i="7" s="1"/>
  <c r="L188" i="7"/>
  <c r="M188" i="7" s="1"/>
  <c r="L194" i="7"/>
  <c r="M194" i="7" s="1"/>
  <c r="L192" i="7"/>
  <c r="M192" i="7" s="1"/>
  <c r="L168" i="7"/>
  <c r="M168" i="7" s="1"/>
  <c r="L174" i="7"/>
  <c r="M174" i="7" s="1"/>
  <c r="L180" i="7"/>
  <c r="M180" i="7" s="1"/>
  <c r="L179" i="7"/>
  <c r="M179" i="7" s="1"/>
  <c r="L150" i="7"/>
  <c r="M150" i="7" s="1"/>
  <c r="L147" i="7"/>
  <c r="M147" i="7" s="1"/>
  <c r="L151" i="7"/>
  <c r="M151" i="7" s="1"/>
  <c r="L154" i="7"/>
  <c r="M154" i="7" s="1"/>
  <c r="L158" i="7"/>
  <c r="M158" i="7" s="1"/>
  <c r="L153" i="7"/>
  <c r="M153" i="7" s="1"/>
  <c r="L157" i="7"/>
  <c r="M157" i="7" s="1"/>
  <c r="L152" i="7"/>
  <c r="M152" i="7" s="1"/>
  <c r="L146" i="7"/>
  <c r="M146" i="7" s="1"/>
  <c r="L161" i="7"/>
  <c r="M161" i="7" s="1"/>
  <c r="L164" i="7"/>
  <c r="M164" i="7" s="1"/>
  <c r="L156" i="7"/>
  <c r="M156" i="7" s="1"/>
  <c r="L159" i="7"/>
  <c r="M159" i="7" s="1"/>
  <c r="L162" i="7"/>
  <c r="M162" i="7" s="1"/>
  <c r="L149" i="7"/>
  <c r="M149" i="7" s="1"/>
  <c r="L148" i="7"/>
  <c r="M148" i="7" s="1"/>
  <c r="L160" i="7"/>
  <c r="M160" i="7" s="1"/>
  <c r="L155" i="7"/>
  <c r="M155" i="7" s="1"/>
  <c r="L163" i="7"/>
  <c r="M163" i="7" s="1"/>
  <c r="L128" i="7"/>
  <c r="M128" i="7" s="1"/>
  <c r="L130" i="7"/>
  <c r="M130" i="7" s="1"/>
  <c r="L116" i="7"/>
  <c r="M116" i="7" s="1"/>
  <c r="L123" i="7"/>
  <c r="M123" i="7" s="1"/>
  <c r="L143" i="7"/>
  <c r="M143" i="7" s="1"/>
  <c r="L108" i="7"/>
  <c r="M108" i="7" s="1"/>
  <c r="L107" i="7"/>
  <c r="M107" i="7" s="1"/>
  <c r="L144" i="7"/>
  <c r="M144" i="7" s="1"/>
  <c r="L134" i="7"/>
  <c r="M134" i="7" s="1"/>
  <c r="L120" i="7"/>
  <c r="M120" i="7" s="1"/>
  <c r="L105" i="7"/>
  <c r="M105" i="7" s="1"/>
  <c r="L135" i="7"/>
  <c r="M135" i="7" s="1"/>
  <c r="L138" i="7"/>
  <c r="M138" i="7" s="1"/>
  <c r="L118" i="7"/>
  <c r="M118" i="7" s="1"/>
  <c r="L132" i="7"/>
  <c r="M132" i="7" s="1"/>
  <c r="L106" i="7"/>
  <c r="M106" i="7" s="1"/>
  <c r="L142" i="7"/>
  <c r="M142" i="7" s="1"/>
  <c r="L125" i="7"/>
  <c r="M125" i="7" s="1"/>
  <c r="L127" i="7"/>
  <c r="M127" i="7" s="1"/>
  <c r="L145" i="7"/>
  <c r="M145" i="7" s="1"/>
  <c r="L129" i="7"/>
  <c r="M129" i="7" s="1"/>
  <c r="L140" i="7"/>
  <c r="M140" i="7" s="1"/>
  <c r="L131" i="7"/>
  <c r="M131" i="7" s="1"/>
  <c r="L117" i="7"/>
  <c r="M117" i="7" s="1"/>
  <c r="L111" i="7"/>
  <c r="M111" i="7" s="1"/>
  <c r="L122" i="7"/>
  <c r="M122" i="7" s="1"/>
  <c r="L104" i="7"/>
  <c r="M104" i="7" s="1"/>
  <c r="L113" i="7"/>
  <c r="M113" i="7" s="1"/>
  <c r="L110" i="7"/>
  <c r="M110" i="7" s="1"/>
  <c r="L119" i="7"/>
  <c r="M119" i="7" s="1"/>
  <c r="L136" i="7"/>
  <c r="M136" i="7" s="1"/>
  <c r="L112" i="7"/>
  <c r="M112" i="7" s="1"/>
  <c r="L121" i="7"/>
  <c r="M121" i="7" s="1"/>
  <c r="L126" i="7"/>
  <c r="M126" i="7" s="1"/>
  <c r="L115" i="7"/>
  <c r="M115" i="7" s="1"/>
  <c r="L103" i="7"/>
  <c r="M103" i="7" s="1"/>
  <c r="L133" i="7"/>
  <c r="M133" i="7" s="1"/>
  <c r="L109" i="7"/>
  <c r="M109" i="7" s="1"/>
  <c r="L137" i="7"/>
  <c r="M137" i="7" s="1"/>
  <c r="L124" i="7"/>
  <c r="M124" i="7" s="1"/>
  <c r="L102" i="7"/>
  <c r="M102" i="7" s="1"/>
  <c r="L139" i="7"/>
  <c r="M139" i="7" s="1"/>
  <c r="L114" i="7"/>
  <c r="M114" i="7" s="1"/>
  <c r="L141" i="7"/>
  <c r="M141" i="7" s="1"/>
  <c r="L93" i="7"/>
  <c r="M93" i="7" s="1"/>
  <c r="L100" i="7"/>
  <c r="M100" i="7" s="1"/>
  <c r="L92" i="7"/>
  <c r="M92" i="7" s="1"/>
  <c r="L82" i="7"/>
  <c r="M82" i="7" s="1"/>
  <c r="L86" i="7"/>
  <c r="M86" i="7" s="1"/>
  <c r="L84" i="7"/>
  <c r="M84" i="7" s="1"/>
  <c r="L80" i="7"/>
  <c r="M80" i="7" s="1"/>
  <c r="L87" i="7"/>
  <c r="M87" i="7" s="1"/>
  <c r="L95" i="7"/>
  <c r="M95" i="7" s="1"/>
  <c r="G95" i="7"/>
  <c r="L81" i="7"/>
  <c r="M81" i="7" s="1"/>
  <c r="L98" i="7"/>
  <c r="M98" i="7" s="1"/>
  <c r="L101" i="7"/>
  <c r="M101" i="7" s="1"/>
  <c r="L99" i="7"/>
  <c r="M99" i="7" s="1"/>
  <c r="L90" i="7"/>
  <c r="M90" i="7" s="1"/>
  <c r="L83" i="7"/>
  <c r="M83" i="7" s="1"/>
  <c r="L78" i="7"/>
  <c r="M78" i="7" s="1"/>
  <c r="L88" i="7"/>
  <c r="M88" i="7" s="1"/>
  <c r="L94" i="7"/>
  <c r="M94" i="7" s="1"/>
  <c r="L97" i="7"/>
  <c r="M97" i="7" s="1"/>
  <c r="L91" i="7"/>
  <c r="M91" i="7" s="1"/>
  <c r="L89" i="7"/>
  <c r="M89" i="7" s="1"/>
  <c r="L96" i="7"/>
  <c r="M96" i="7" s="1"/>
  <c r="L85" i="7"/>
  <c r="M85" i="7" s="1"/>
  <c r="L79" i="7"/>
  <c r="M79" i="7" s="1"/>
  <c r="L57" i="7"/>
  <c r="M57" i="7" s="1"/>
  <c r="L66" i="7"/>
  <c r="M66" i="7" s="1"/>
  <c r="L72" i="7"/>
  <c r="M72" i="7" s="1"/>
  <c r="L60" i="7"/>
  <c r="M60" i="7" s="1"/>
  <c r="L50" i="7"/>
  <c r="M50" i="7" s="1"/>
  <c r="L68" i="7"/>
  <c r="M68" i="7" s="1"/>
  <c r="L64" i="7"/>
  <c r="M64" i="7" s="1"/>
  <c r="L56" i="7"/>
  <c r="M56" i="7" s="1"/>
  <c r="L65" i="7"/>
  <c r="M65" i="7" s="1"/>
  <c r="L71" i="7"/>
  <c r="M71" i="7" s="1"/>
  <c r="L59" i="7"/>
  <c r="M59" i="7" s="1"/>
  <c r="L49" i="7"/>
  <c r="M49" i="7" s="1"/>
  <c r="L67" i="7"/>
  <c r="M67" i="7" s="1"/>
  <c r="L63" i="7"/>
  <c r="M63" i="7" s="1"/>
  <c r="L51" i="7"/>
  <c r="M51" i="7" s="1"/>
  <c r="P51" i="7" s="1"/>
  <c r="L70" i="7"/>
  <c r="M70" i="7" s="1"/>
  <c r="L73" i="7"/>
  <c r="M73" i="7" s="1"/>
  <c r="L53" i="7"/>
  <c r="M53" i="7" s="1"/>
  <c r="L77" i="7"/>
  <c r="M77" i="7" s="1"/>
  <c r="L54" i="7"/>
  <c r="M54" i="7" s="1"/>
  <c r="L74" i="7"/>
  <c r="M74" i="7" s="1"/>
  <c r="L76" i="7"/>
  <c r="M76" i="7" s="1"/>
  <c r="L75" i="7"/>
  <c r="M75" i="7" s="1"/>
  <c r="L61" i="7"/>
  <c r="M61" i="7" s="1"/>
  <c r="L48" i="7"/>
  <c r="M48" i="7" s="1"/>
  <c r="G48" i="7"/>
  <c r="L62" i="7"/>
  <c r="M62" i="7" s="1"/>
  <c r="L69" i="7"/>
  <c r="M69" i="7" s="1"/>
  <c r="L47" i="7"/>
  <c r="M47" i="7" s="1"/>
  <c r="L52" i="7"/>
  <c r="M52" i="7" s="1"/>
  <c r="L58" i="7"/>
  <c r="M58" i="7" s="1"/>
  <c r="L46" i="7"/>
  <c r="M46" i="7" s="1"/>
  <c r="AH35" i="16"/>
  <c r="AI35" i="16" s="1"/>
  <c r="I35" i="16"/>
  <c r="J35" i="16" s="1"/>
  <c r="AH34" i="16"/>
  <c r="AI34" i="16" s="1"/>
  <c r="I34" i="16"/>
  <c r="J34" i="16" s="1"/>
  <c r="AH33" i="16"/>
  <c r="AI33" i="16" s="1"/>
  <c r="I33" i="16"/>
  <c r="J33" i="16" s="1"/>
  <c r="AH32" i="16"/>
  <c r="AI32" i="16" s="1"/>
  <c r="I32" i="16"/>
  <c r="J32" i="16" s="1"/>
  <c r="AH31" i="16"/>
  <c r="AI31" i="16" s="1"/>
  <c r="I31" i="16"/>
  <c r="J31" i="16" s="1"/>
  <c r="AH30" i="16"/>
  <c r="AI30" i="16" s="1"/>
  <c r="I30" i="16"/>
  <c r="J30" i="16" s="1"/>
  <c r="AH29" i="16"/>
  <c r="AI29" i="16" s="1"/>
  <c r="I29" i="16"/>
  <c r="J29" i="16" s="1"/>
  <c r="AH28" i="16"/>
  <c r="AI28" i="16" s="1"/>
  <c r="I28" i="16"/>
  <c r="J28" i="16" s="1"/>
  <c r="AH27" i="16"/>
  <c r="AI27" i="16" s="1"/>
  <c r="I27" i="16"/>
  <c r="J27" i="16" s="1"/>
  <c r="AH26" i="16"/>
  <c r="AI26" i="16" s="1"/>
  <c r="I26" i="16"/>
  <c r="J26" i="16" s="1"/>
  <c r="AH25" i="16"/>
  <c r="AI25" i="16" s="1"/>
  <c r="I25" i="16"/>
  <c r="J25" i="16" s="1"/>
  <c r="AH24" i="16"/>
  <c r="AI24" i="16" s="1"/>
  <c r="U24" i="16"/>
  <c r="V24" i="16" s="1"/>
  <c r="I24" i="16"/>
  <c r="J24" i="16" s="1"/>
  <c r="AH23" i="16"/>
  <c r="AI23" i="16" s="1"/>
  <c r="U23" i="16"/>
  <c r="V23" i="16" s="1"/>
  <c r="I23" i="16"/>
  <c r="J23" i="16" s="1"/>
  <c r="AH22" i="16"/>
  <c r="AI22" i="16" s="1"/>
  <c r="U22" i="16"/>
  <c r="V22" i="16" s="1"/>
  <c r="I22" i="16"/>
  <c r="J22" i="16" s="1"/>
  <c r="AH21" i="16"/>
  <c r="AI21" i="16" s="1"/>
  <c r="U21" i="16"/>
  <c r="V21" i="16" s="1"/>
  <c r="I21" i="16"/>
  <c r="J21" i="16" s="1"/>
  <c r="AH20" i="16"/>
  <c r="AI20" i="16" s="1"/>
  <c r="U20" i="16"/>
  <c r="V20" i="16" s="1"/>
  <c r="I20" i="16"/>
  <c r="J20" i="16" s="1"/>
  <c r="AH19" i="16"/>
  <c r="AI19" i="16" s="1"/>
  <c r="U19" i="16"/>
  <c r="V19" i="16" s="1"/>
  <c r="I19" i="16"/>
  <c r="J19" i="16" s="1"/>
  <c r="AH18" i="16"/>
  <c r="AI18" i="16" s="1"/>
  <c r="U18" i="16"/>
  <c r="V18" i="16" s="1"/>
  <c r="I18" i="16"/>
  <c r="J18" i="16" s="1"/>
  <c r="AH17" i="16"/>
  <c r="AI17" i="16" s="1"/>
  <c r="U17" i="16"/>
  <c r="V17" i="16" s="1"/>
  <c r="I17" i="16"/>
  <c r="J17" i="16" s="1"/>
  <c r="AH16" i="16"/>
  <c r="AI16" i="16" s="1"/>
  <c r="U16" i="16"/>
  <c r="V16" i="16" s="1"/>
  <c r="I16" i="16"/>
  <c r="J16" i="16" s="1"/>
  <c r="U15" i="16"/>
  <c r="V15" i="16" s="1"/>
  <c r="P15" i="16"/>
  <c r="I15" i="16"/>
  <c r="J15" i="16" s="1"/>
  <c r="AH14" i="16"/>
  <c r="AI14" i="16" s="1"/>
  <c r="U14" i="16"/>
  <c r="V14" i="16" s="1"/>
  <c r="I14" i="16"/>
  <c r="J14" i="16" s="1"/>
  <c r="AH13" i="16"/>
  <c r="AI13" i="16" s="1"/>
  <c r="U13" i="16"/>
  <c r="V13" i="16" s="1"/>
  <c r="I13" i="16"/>
  <c r="J13" i="16" s="1"/>
  <c r="D13" i="16"/>
  <c r="AH12" i="16"/>
  <c r="AI12" i="16" s="1"/>
  <c r="U12" i="16"/>
  <c r="V12" i="16" s="1"/>
  <c r="I12" i="16"/>
  <c r="J12" i="16" s="1"/>
  <c r="AH11" i="16"/>
  <c r="AI11" i="16" s="1"/>
  <c r="U11" i="16"/>
  <c r="V11" i="16" s="1"/>
  <c r="I11" i="16"/>
  <c r="J11" i="16" s="1"/>
  <c r="AH10" i="16"/>
  <c r="AI10" i="16" s="1"/>
  <c r="AC10" i="16"/>
  <c r="U10" i="16"/>
  <c r="V10" i="16" s="1"/>
  <c r="I10" i="16"/>
  <c r="J10" i="16" s="1"/>
  <c r="AH9" i="16"/>
  <c r="AI9" i="16" s="1"/>
  <c r="U9" i="16"/>
  <c r="V9" i="16" s="1"/>
  <c r="I9" i="16"/>
  <c r="J9" i="16" s="1"/>
  <c r="AH8" i="16"/>
  <c r="AI8" i="16" s="1"/>
  <c r="U8" i="16"/>
  <c r="V8" i="16" s="1"/>
  <c r="I8" i="16"/>
  <c r="J8" i="16" s="1"/>
  <c r="AH7" i="16"/>
  <c r="AI7" i="16" s="1"/>
  <c r="U7" i="16"/>
  <c r="V7" i="16" s="1"/>
  <c r="I7" i="16"/>
  <c r="J7" i="16" s="1"/>
  <c r="AH6" i="16"/>
  <c r="AI6" i="16" s="1"/>
  <c r="U6" i="16"/>
  <c r="V6" i="16" s="1"/>
  <c r="J6" i="16"/>
  <c r="I6" i="16"/>
  <c r="AH5" i="16"/>
  <c r="AI5" i="16" s="1"/>
  <c r="U5" i="16"/>
  <c r="V5" i="16" s="1"/>
  <c r="I5" i="16"/>
  <c r="J5" i="16" s="1"/>
  <c r="AH4" i="16"/>
  <c r="AI4" i="16" s="1"/>
  <c r="U4" i="16"/>
  <c r="V4" i="16" s="1"/>
  <c r="I4" i="16"/>
  <c r="J4" i="16" s="1"/>
  <c r="L35" i="7"/>
  <c r="M35" i="7" s="1"/>
  <c r="L32" i="7"/>
  <c r="M32" i="7" s="1"/>
  <c r="L34" i="7"/>
  <c r="M34" i="7" s="1"/>
  <c r="L45" i="7"/>
  <c r="M45" i="7" s="1"/>
  <c r="L31" i="7"/>
  <c r="M31" i="7" s="1"/>
  <c r="L42" i="7"/>
  <c r="M42" i="7" s="1"/>
  <c r="L44" i="7"/>
  <c r="M44" i="7" s="1"/>
  <c r="L26" i="7"/>
  <c r="M26" i="7" s="1"/>
  <c r="G26" i="7"/>
  <c r="L36" i="7"/>
  <c r="M36" i="7" s="1"/>
  <c r="L43" i="7"/>
  <c r="M43" i="7" s="1"/>
  <c r="L30" i="7"/>
  <c r="M30" i="7" s="1"/>
  <c r="L38" i="7"/>
  <c r="M38" i="7" s="1"/>
  <c r="L41" i="7"/>
  <c r="M41" i="7" s="1"/>
  <c r="L28" i="7"/>
  <c r="M28" i="7" s="1"/>
  <c r="L40" i="7"/>
  <c r="M40" i="7" s="1"/>
  <c r="L29" i="7"/>
  <c r="M29" i="7" s="1"/>
  <c r="L37" i="7"/>
  <c r="M37" i="7" s="1"/>
  <c r="L27" i="7"/>
  <c r="M27" i="7" s="1"/>
  <c r="L33" i="7"/>
  <c r="M33" i="7" s="1"/>
  <c r="AE13" i="12"/>
  <c r="F19" i="12"/>
  <c r="K19" i="12" s="1"/>
  <c r="L19" i="12" s="1"/>
  <c r="L3" i="7"/>
  <c r="M3" i="7" s="1"/>
  <c r="L8" i="7"/>
  <c r="M8" i="7" s="1"/>
  <c r="L10" i="7"/>
  <c r="M10" i="7" s="1"/>
  <c r="L13" i="7"/>
  <c r="M13" i="7" s="1"/>
  <c r="L23" i="7"/>
  <c r="M23" i="7" s="1"/>
  <c r="L16" i="7"/>
  <c r="M16" i="7" s="1"/>
  <c r="L25" i="7"/>
  <c r="M25" i="7" s="1"/>
  <c r="L20" i="7"/>
  <c r="M20" i="7" s="1"/>
  <c r="L17" i="7"/>
  <c r="M17" i="7" s="1"/>
  <c r="L15" i="7"/>
  <c r="M15" i="7" s="1"/>
  <c r="L5" i="7"/>
  <c r="M5" i="7" s="1"/>
  <c r="L6" i="7"/>
  <c r="M6" i="7" s="1"/>
  <c r="L7" i="7"/>
  <c r="M7" i="7" s="1"/>
  <c r="L24" i="7"/>
  <c r="M24" i="7" s="1"/>
  <c r="L2" i="7"/>
  <c r="M2" i="7" s="1"/>
  <c r="G2" i="7"/>
  <c r="L12" i="7"/>
  <c r="M12" i="7" s="1"/>
  <c r="M18" i="7"/>
  <c r="L22" i="7"/>
  <c r="M22" i="7" s="1"/>
  <c r="L19" i="7"/>
  <c r="M19" i="7" s="1"/>
  <c r="X41" i="11"/>
  <c r="X42" i="11"/>
  <c r="X43" i="11"/>
  <c r="X44" i="11"/>
  <c r="X45" i="11"/>
  <c r="X46" i="11"/>
  <c r="X47" i="11"/>
  <c r="W48" i="11"/>
  <c r="X48" i="11" s="1"/>
  <c r="W41" i="11"/>
  <c r="W42" i="11"/>
  <c r="W43" i="11"/>
  <c r="W44" i="11"/>
  <c r="W45" i="11"/>
  <c r="W46" i="11"/>
  <c r="W47" i="11"/>
  <c r="F20" i="11"/>
  <c r="K36" i="12"/>
  <c r="L36" i="12" s="1"/>
  <c r="K35" i="12"/>
  <c r="L35" i="12" s="1"/>
  <c r="K34" i="12"/>
  <c r="L34" i="12" s="1"/>
  <c r="K33" i="12"/>
  <c r="L33" i="12" s="1"/>
  <c r="K32" i="12"/>
  <c r="L32" i="12" s="1"/>
  <c r="K31" i="12"/>
  <c r="L31" i="12" s="1"/>
  <c r="K30" i="12"/>
  <c r="L30" i="12" s="1"/>
  <c r="AJ29" i="12"/>
  <c r="AK29" i="12" s="1"/>
  <c r="K29" i="12"/>
  <c r="L29" i="12" s="1"/>
  <c r="AJ28" i="12"/>
  <c r="AK28" i="12" s="1"/>
  <c r="K28" i="12"/>
  <c r="L28" i="12" s="1"/>
  <c r="AJ27" i="12"/>
  <c r="AK27" i="12" s="1"/>
  <c r="K27" i="12"/>
  <c r="L27" i="12" s="1"/>
  <c r="AJ26" i="12"/>
  <c r="AK26" i="12" s="1"/>
  <c r="W26" i="12"/>
  <c r="X26" i="12" s="1"/>
  <c r="K26" i="12"/>
  <c r="L26" i="12" s="1"/>
  <c r="AJ25" i="12"/>
  <c r="AK25" i="12" s="1"/>
  <c r="W25" i="12"/>
  <c r="X25" i="12" s="1"/>
  <c r="K25" i="12"/>
  <c r="L25" i="12" s="1"/>
  <c r="AJ24" i="12"/>
  <c r="AK24" i="12" s="1"/>
  <c r="W24" i="12"/>
  <c r="X24" i="12" s="1"/>
  <c r="K24" i="12"/>
  <c r="L24" i="12" s="1"/>
  <c r="AJ23" i="12"/>
  <c r="AK23" i="12" s="1"/>
  <c r="W23" i="12"/>
  <c r="X23" i="12" s="1"/>
  <c r="K23" i="12"/>
  <c r="L23" i="12" s="1"/>
  <c r="AJ22" i="12"/>
  <c r="AK22" i="12" s="1"/>
  <c r="W22" i="12"/>
  <c r="X22" i="12" s="1"/>
  <c r="K22" i="12"/>
  <c r="L22" i="12" s="1"/>
  <c r="AJ21" i="12"/>
  <c r="AK21" i="12" s="1"/>
  <c r="W21" i="12"/>
  <c r="X21" i="12" s="1"/>
  <c r="K21" i="12"/>
  <c r="L21" i="12" s="1"/>
  <c r="AJ20" i="12"/>
  <c r="AK20" i="12" s="1"/>
  <c r="W20" i="12"/>
  <c r="X20" i="12" s="1"/>
  <c r="K20" i="12"/>
  <c r="L20" i="12" s="1"/>
  <c r="AJ19" i="12"/>
  <c r="AK19" i="12" s="1"/>
  <c r="W19" i="12"/>
  <c r="X19" i="12" s="1"/>
  <c r="AJ18" i="12"/>
  <c r="AK18" i="12" s="1"/>
  <c r="W18" i="12"/>
  <c r="X18" i="12" s="1"/>
  <c r="K18" i="12"/>
  <c r="L18" i="12" s="1"/>
  <c r="AJ17" i="12"/>
  <c r="AK17" i="12" s="1"/>
  <c r="W17" i="12"/>
  <c r="X17" i="12" s="1"/>
  <c r="K17" i="12"/>
  <c r="L17" i="12" s="1"/>
  <c r="AJ16" i="12"/>
  <c r="AK16" i="12" s="1"/>
  <c r="W16" i="12"/>
  <c r="X16" i="12" s="1"/>
  <c r="K16" i="12"/>
  <c r="L16" i="12" s="1"/>
  <c r="AJ15" i="12"/>
  <c r="AK15" i="12" s="1"/>
  <c r="W15" i="12"/>
  <c r="X15" i="12" s="1"/>
  <c r="K15" i="12"/>
  <c r="L15" i="12" s="1"/>
  <c r="AJ14" i="12"/>
  <c r="AK14" i="12" s="1"/>
  <c r="X14" i="12"/>
  <c r="W14" i="12"/>
  <c r="K14" i="12"/>
  <c r="L14" i="12" s="1"/>
  <c r="AJ13" i="12"/>
  <c r="AK13" i="12" s="1"/>
  <c r="W13" i="12"/>
  <c r="X13" i="12" s="1"/>
  <c r="K13" i="12"/>
  <c r="L13" i="12" s="1"/>
  <c r="AJ12" i="12"/>
  <c r="AK12" i="12" s="1"/>
  <c r="W12" i="12"/>
  <c r="X12" i="12" s="1"/>
  <c r="K12" i="12"/>
  <c r="L12" i="12" s="1"/>
  <c r="AJ11" i="12"/>
  <c r="AK11" i="12" s="1"/>
  <c r="W11" i="12"/>
  <c r="X11" i="12" s="1"/>
  <c r="K11" i="12"/>
  <c r="L11" i="12" s="1"/>
  <c r="AJ10" i="12"/>
  <c r="AK10" i="12" s="1"/>
  <c r="W10" i="12"/>
  <c r="X10" i="12" s="1"/>
  <c r="K10" i="12"/>
  <c r="L10" i="12" s="1"/>
  <c r="AJ9" i="12"/>
  <c r="AK9" i="12" s="1"/>
  <c r="W9" i="12"/>
  <c r="X9" i="12" s="1"/>
  <c r="K9" i="12"/>
  <c r="L9" i="12" s="1"/>
  <c r="AJ8" i="12"/>
  <c r="AK8" i="12" s="1"/>
  <c r="W8" i="12"/>
  <c r="X8" i="12" s="1"/>
  <c r="K8" i="12"/>
  <c r="L8" i="12" s="1"/>
  <c r="AJ7" i="12"/>
  <c r="AK7" i="12" s="1"/>
  <c r="W7" i="12"/>
  <c r="X7" i="12" s="1"/>
  <c r="K7" i="12"/>
  <c r="L7" i="12" s="1"/>
  <c r="AJ6" i="12"/>
  <c r="AK6" i="12" s="1"/>
  <c r="W6" i="12"/>
  <c r="X6" i="12" s="1"/>
  <c r="K6" i="12"/>
  <c r="L6" i="12" s="1"/>
  <c r="AJ5" i="12"/>
  <c r="AK5" i="12" s="1"/>
  <c r="W5" i="12"/>
  <c r="X5" i="12" s="1"/>
  <c r="K5" i="12"/>
  <c r="L5" i="12" s="1"/>
  <c r="K6" i="11"/>
  <c r="L6" i="11" s="1"/>
  <c r="K7" i="11"/>
  <c r="K8" i="11"/>
  <c r="K9" i="11"/>
  <c r="L9" i="11" s="1"/>
  <c r="K10" i="11"/>
  <c r="L10" i="11" s="1"/>
  <c r="K11" i="11"/>
  <c r="L11" i="11" s="1"/>
  <c r="K12" i="11"/>
  <c r="L12" i="11" s="1"/>
  <c r="K13" i="11"/>
  <c r="L13" i="11" s="1"/>
  <c r="K14" i="11"/>
  <c r="L14" i="11" s="1"/>
  <c r="K15" i="11"/>
  <c r="K16" i="11"/>
  <c r="L16" i="11" s="1"/>
  <c r="K17" i="11"/>
  <c r="L17" i="11" s="1"/>
  <c r="K18" i="11"/>
  <c r="L18" i="11" s="1"/>
  <c r="K19" i="11"/>
  <c r="L19" i="11" s="1"/>
  <c r="K20" i="11"/>
  <c r="L20" i="11" s="1"/>
  <c r="K21" i="11"/>
  <c r="L21" i="11" s="1"/>
  <c r="K22" i="11"/>
  <c r="L22" i="11" s="1"/>
  <c r="K23" i="11"/>
  <c r="L23" i="11" s="1"/>
  <c r="K24" i="11"/>
  <c r="L24" i="11" s="1"/>
  <c r="K25" i="11"/>
  <c r="L25" i="11" s="1"/>
  <c r="K26" i="11"/>
  <c r="L26" i="11" s="1"/>
  <c r="K27" i="11"/>
  <c r="L27" i="11" s="1"/>
  <c r="K28" i="11"/>
  <c r="L28" i="11" s="1"/>
  <c r="L7" i="11"/>
  <c r="L8" i="11"/>
  <c r="L15" i="11"/>
  <c r="X18" i="11"/>
  <c r="X32" i="11"/>
  <c r="X39" i="11"/>
  <c r="W13" i="11"/>
  <c r="X13" i="11" s="1"/>
  <c r="W14" i="11"/>
  <c r="X14" i="11" s="1"/>
  <c r="W15" i="11"/>
  <c r="X15" i="11" s="1"/>
  <c r="W16" i="11"/>
  <c r="X16" i="11" s="1"/>
  <c r="W17" i="11"/>
  <c r="X17" i="11" s="1"/>
  <c r="W18" i="11"/>
  <c r="W19" i="11"/>
  <c r="X19" i="11" s="1"/>
  <c r="W20" i="11"/>
  <c r="X20" i="11" s="1"/>
  <c r="W21" i="11"/>
  <c r="X21" i="11" s="1"/>
  <c r="W22" i="11"/>
  <c r="X22" i="11" s="1"/>
  <c r="W23" i="11"/>
  <c r="X23" i="11" s="1"/>
  <c r="W24" i="11"/>
  <c r="X24" i="11" s="1"/>
  <c r="W25" i="11"/>
  <c r="X25" i="11" s="1"/>
  <c r="W26" i="11"/>
  <c r="X26" i="11" s="1"/>
  <c r="W27" i="11"/>
  <c r="X27" i="11" s="1"/>
  <c r="W28" i="11"/>
  <c r="X28" i="11" s="1"/>
  <c r="W29" i="11"/>
  <c r="X29" i="11" s="1"/>
  <c r="W30" i="11"/>
  <c r="X30" i="11" s="1"/>
  <c r="W31" i="11"/>
  <c r="X31" i="11" s="1"/>
  <c r="W32" i="11"/>
  <c r="W33" i="11"/>
  <c r="X33" i="11" s="1"/>
  <c r="W34" i="11"/>
  <c r="X34" i="11" s="1"/>
  <c r="W35" i="11"/>
  <c r="X35" i="11" s="1"/>
  <c r="W36" i="11"/>
  <c r="X36" i="11" s="1"/>
  <c r="W37" i="11"/>
  <c r="X37" i="11" s="1"/>
  <c r="W38" i="11"/>
  <c r="X38" i="11" s="1"/>
  <c r="W39" i="11"/>
  <c r="W40" i="11"/>
  <c r="X40" i="11" s="1"/>
  <c r="W10" i="11"/>
  <c r="X10" i="11" s="1"/>
  <c r="W11" i="11"/>
  <c r="X11" i="11" s="1"/>
  <c r="W12" i="11"/>
  <c r="X12" i="11" s="1"/>
  <c r="AJ21" i="11"/>
  <c r="AK21" i="11" s="1"/>
  <c r="AJ8" i="11"/>
  <c r="AK8" i="11" s="1"/>
  <c r="AJ9" i="11"/>
  <c r="AK9" i="11" s="1"/>
  <c r="AJ10" i="11"/>
  <c r="AK10" i="11" s="1"/>
  <c r="AJ11" i="11"/>
  <c r="AK11" i="11" s="1"/>
  <c r="AJ12" i="11"/>
  <c r="AK12" i="11" s="1"/>
  <c r="AJ23" i="11"/>
  <c r="AK23" i="11" s="1"/>
  <c r="AJ22" i="11"/>
  <c r="AK22" i="11" s="1"/>
  <c r="AJ20" i="11"/>
  <c r="AK20" i="11" s="1"/>
  <c r="AJ19" i="11"/>
  <c r="AK19" i="11" s="1"/>
  <c r="AJ18" i="11"/>
  <c r="AK18" i="11" s="1"/>
  <c r="AJ17" i="11"/>
  <c r="AK17" i="11" s="1"/>
  <c r="AJ16" i="11"/>
  <c r="AK16" i="11" s="1"/>
  <c r="AJ15" i="11"/>
  <c r="AK15" i="11" s="1"/>
  <c r="AJ14" i="11"/>
  <c r="AK14" i="11" s="1"/>
  <c r="AJ13" i="11"/>
  <c r="AK13" i="11" s="1"/>
  <c r="W9" i="11"/>
  <c r="X9" i="11" s="1"/>
  <c r="W8" i="11"/>
  <c r="X8" i="11" s="1"/>
  <c r="AJ7" i="11"/>
  <c r="AK7" i="11" s="1"/>
  <c r="W7" i="11"/>
  <c r="X7" i="11" s="1"/>
  <c r="AJ6" i="11"/>
  <c r="AK6" i="11" s="1"/>
  <c r="W6" i="11"/>
  <c r="X6" i="11" s="1"/>
  <c r="AJ5" i="11"/>
  <c r="AK5" i="11" s="1"/>
  <c r="W5" i="11"/>
  <c r="X5" i="11" s="1"/>
  <c r="K5" i="11"/>
  <c r="L5" i="11" s="1"/>
  <c r="AE43" i="10"/>
  <c r="AF43" i="10" s="1"/>
  <c r="U43" i="10"/>
  <c r="V43" i="10" s="1"/>
  <c r="K43" i="10"/>
  <c r="L43" i="10" s="1"/>
  <c r="AE42" i="10"/>
  <c r="AF42" i="10" s="1"/>
  <c r="U42" i="10"/>
  <c r="V42" i="10" s="1"/>
  <c r="K42" i="10"/>
  <c r="L42" i="10" s="1"/>
  <c r="AE41" i="10"/>
  <c r="AF41" i="10" s="1"/>
  <c r="U41" i="10"/>
  <c r="V41" i="10" s="1"/>
  <c r="K41" i="10"/>
  <c r="L41" i="10" s="1"/>
  <c r="AE40" i="10"/>
  <c r="AF40" i="10" s="1"/>
  <c r="U40" i="10"/>
  <c r="V40" i="10" s="1"/>
  <c r="K40" i="10"/>
  <c r="L40" i="10" s="1"/>
  <c r="AE39" i="10"/>
  <c r="AF39" i="10" s="1"/>
  <c r="U39" i="10"/>
  <c r="V39" i="10" s="1"/>
  <c r="K39" i="10"/>
  <c r="L39" i="10" s="1"/>
  <c r="AE38" i="10"/>
  <c r="AF38" i="10" s="1"/>
  <c r="U38" i="10"/>
  <c r="V38" i="10" s="1"/>
  <c r="K38" i="10"/>
  <c r="L38" i="10" s="1"/>
  <c r="AE37" i="10"/>
  <c r="AF37" i="10" s="1"/>
  <c r="U37" i="10"/>
  <c r="V37" i="10" s="1"/>
  <c r="K37" i="10"/>
  <c r="L37" i="10" s="1"/>
  <c r="AE36" i="10"/>
  <c r="AF36" i="10" s="1"/>
  <c r="U36" i="10"/>
  <c r="V36" i="10" s="1"/>
  <c r="K36" i="10"/>
  <c r="L36" i="10" s="1"/>
  <c r="AE35" i="10"/>
  <c r="AF35" i="10" s="1"/>
  <c r="U35" i="10"/>
  <c r="V35" i="10" s="1"/>
  <c r="K35" i="10"/>
  <c r="L35" i="10" s="1"/>
  <c r="AE34" i="10"/>
  <c r="AF34" i="10" s="1"/>
  <c r="U34" i="10"/>
  <c r="V34" i="10" s="1"/>
  <c r="K34" i="10"/>
  <c r="L34" i="10" s="1"/>
  <c r="AE33" i="10"/>
  <c r="AF33" i="10" s="1"/>
  <c r="U33" i="10"/>
  <c r="V33" i="10" s="1"/>
  <c r="K33" i="10"/>
  <c r="L33" i="10" s="1"/>
  <c r="AE32" i="10"/>
  <c r="AF32" i="10" s="1"/>
  <c r="U32" i="10"/>
  <c r="V32" i="10" s="1"/>
  <c r="K32" i="10"/>
  <c r="L32" i="10" s="1"/>
  <c r="AE31" i="10"/>
  <c r="AF31" i="10" s="1"/>
  <c r="U31" i="10"/>
  <c r="V31" i="10" s="1"/>
  <c r="K31" i="10"/>
  <c r="L31" i="10" s="1"/>
  <c r="AE30" i="10"/>
  <c r="AF30" i="10" s="1"/>
  <c r="U30" i="10"/>
  <c r="V30" i="10" s="1"/>
  <c r="K30" i="10"/>
  <c r="L30" i="10" s="1"/>
  <c r="AE29" i="10"/>
  <c r="AF29" i="10" s="1"/>
  <c r="U29" i="10"/>
  <c r="V29" i="10" s="1"/>
  <c r="K29" i="10"/>
  <c r="L29" i="10" s="1"/>
  <c r="AE28" i="10"/>
  <c r="AF28" i="10" s="1"/>
  <c r="U28" i="10"/>
  <c r="V28" i="10" s="1"/>
  <c r="K28" i="10"/>
  <c r="L28" i="10" s="1"/>
  <c r="AE27" i="10"/>
  <c r="AF27" i="10" s="1"/>
  <c r="U27" i="10"/>
  <c r="V27" i="10" s="1"/>
  <c r="K27" i="10"/>
  <c r="L27" i="10" s="1"/>
  <c r="AE26" i="10"/>
  <c r="AF26" i="10" s="1"/>
  <c r="U26" i="10"/>
  <c r="V26" i="10" s="1"/>
  <c r="K26" i="10"/>
  <c r="L26" i="10" s="1"/>
  <c r="AE25" i="10"/>
  <c r="AF25" i="10" s="1"/>
  <c r="U25" i="10"/>
  <c r="V25" i="10" s="1"/>
  <c r="K25" i="10"/>
  <c r="L25" i="10" s="1"/>
  <c r="AE24" i="10"/>
  <c r="AF24" i="10" s="1"/>
  <c r="U24" i="10"/>
  <c r="V24" i="10" s="1"/>
  <c r="K24" i="10"/>
  <c r="L24" i="10" s="1"/>
  <c r="AE23" i="10"/>
  <c r="AF23" i="10" s="1"/>
  <c r="U23" i="10"/>
  <c r="V23" i="10" s="1"/>
  <c r="K23" i="10"/>
  <c r="L23" i="10" s="1"/>
  <c r="AE22" i="10"/>
  <c r="AF22" i="10" s="1"/>
  <c r="U22" i="10"/>
  <c r="V22" i="10" s="1"/>
  <c r="K22" i="10"/>
  <c r="L22" i="10" s="1"/>
  <c r="AE21" i="10"/>
  <c r="AF21" i="10" s="1"/>
  <c r="U21" i="10"/>
  <c r="V21" i="10" s="1"/>
  <c r="K21" i="10"/>
  <c r="L21" i="10" s="1"/>
  <c r="AE20" i="10"/>
  <c r="AF20" i="10" s="1"/>
  <c r="U20" i="10"/>
  <c r="V20" i="10" s="1"/>
  <c r="K20" i="10"/>
  <c r="L20" i="10" s="1"/>
  <c r="AE19" i="10"/>
  <c r="AF19" i="10" s="1"/>
  <c r="U19" i="10"/>
  <c r="V19" i="10" s="1"/>
  <c r="K19" i="10"/>
  <c r="L19" i="10" s="1"/>
  <c r="AE18" i="10"/>
  <c r="AF18" i="10" s="1"/>
  <c r="U18" i="10"/>
  <c r="V18" i="10" s="1"/>
  <c r="K18" i="10"/>
  <c r="L18" i="10" s="1"/>
  <c r="AE17" i="10"/>
  <c r="AF17" i="10" s="1"/>
  <c r="U17" i="10"/>
  <c r="V17" i="10" s="1"/>
  <c r="K17" i="10"/>
  <c r="L17" i="10" s="1"/>
  <c r="F17" i="10"/>
  <c r="AE16" i="10"/>
  <c r="AF16" i="10" s="1"/>
  <c r="U16" i="10"/>
  <c r="V16" i="10" s="1"/>
  <c r="K16" i="10"/>
  <c r="L16" i="10" s="1"/>
  <c r="AE15" i="10"/>
  <c r="AF15" i="10" s="1"/>
  <c r="U15" i="10"/>
  <c r="V15" i="10" s="1"/>
  <c r="K15" i="10"/>
  <c r="L15" i="10" s="1"/>
  <c r="AE14" i="10"/>
  <c r="AF14" i="10" s="1"/>
  <c r="U14" i="10"/>
  <c r="V14" i="10" s="1"/>
  <c r="K14" i="10"/>
  <c r="L14" i="10" s="1"/>
  <c r="AE13" i="10"/>
  <c r="AF13" i="10" s="1"/>
  <c r="U13" i="10"/>
  <c r="V13" i="10" s="1"/>
  <c r="K13" i="10"/>
  <c r="L13" i="10" s="1"/>
  <c r="AE12" i="10"/>
  <c r="AF12" i="10" s="1"/>
  <c r="U12" i="10"/>
  <c r="V12" i="10" s="1"/>
  <c r="AE11" i="10"/>
  <c r="AF11" i="10" s="1"/>
  <c r="U11" i="10"/>
  <c r="V11" i="10" s="1"/>
  <c r="AE10" i="10"/>
  <c r="AF10" i="10" s="1"/>
  <c r="U10" i="10"/>
  <c r="V10" i="10" s="1"/>
  <c r="AE9" i="10"/>
  <c r="AF9" i="10" s="1"/>
  <c r="U9" i="10"/>
  <c r="V9" i="10" s="1"/>
  <c r="K9" i="10"/>
  <c r="L9" i="10" s="1"/>
  <c r="AE8" i="10"/>
  <c r="AF8" i="10" s="1"/>
  <c r="U8" i="10"/>
  <c r="V8" i="10" s="1"/>
  <c r="K8" i="10"/>
  <c r="L8" i="10" s="1"/>
  <c r="AF7" i="10"/>
  <c r="AE7" i="10"/>
  <c r="V7" i="10"/>
  <c r="U7" i="10"/>
  <c r="L7" i="10"/>
  <c r="K7" i="10"/>
  <c r="AE6" i="10"/>
  <c r="AF6" i="10" s="1"/>
  <c r="U6" i="10"/>
  <c r="V6" i="10" s="1"/>
  <c r="K6" i="10"/>
  <c r="L6" i="10" s="1"/>
  <c r="AE5" i="10"/>
  <c r="AF5" i="10" s="1"/>
  <c r="U5" i="10"/>
  <c r="V5" i="10" s="1"/>
  <c r="K5" i="10"/>
  <c r="L5" i="10" s="1"/>
  <c r="L14" i="7"/>
  <c r="M14" i="7" s="1"/>
  <c r="L11" i="7"/>
  <c r="M11" i="7" s="1"/>
  <c r="L4" i="7"/>
  <c r="L21" i="7"/>
  <c r="M21" i="7" s="1"/>
  <c r="P21" i="7" s="1"/>
  <c r="L9" i="7"/>
  <c r="M9" i="7" s="1"/>
  <c r="M4" i="7"/>
  <c r="V175" i="7" l="1"/>
  <c r="T175" i="7"/>
  <c r="R175" i="7"/>
  <c r="V21" i="7"/>
  <c r="R21" i="7"/>
  <c r="T21" i="7"/>
  <c r="AD4" i="7"/>
  <c r="AB4" i="7"/>
  <c r="Z4" i="7"/>
  <c r="X4" i="7"/>
  <c r="V4" i="7"/>
  <c r="T4" i="7"/>
  <c r="R4" i="7"/>
  <c r="P4" i="7"/>
  <c r="V9" i="7"/>
  <c r="AD9" i="7"/>
  <c r="AB9" i="7"/>
  <c r="Z9" i="7"/>
  <c r="X9" i="7"/>
  <c r="AD21" i="7"/>
  <c r="AB21" i="7"/>
  <c r="Z21" i="7"/>
  <c r="X21" i="7"/>
  <c r="AD11" i="7"/>
  <c r="AB11" i="7"/>
  <c r="Z11" i="7"/>
  <c r="X11" i="7"/>
  <c r="V11" i="7"/>
  <c r="T11" i="7"/>
  <c r="R11" i="7"/>
  <c r="P11" i="7"/>
  <c r="AD14" i="7"/>
  <c r="AB14" i="7"/>
  <c r="Z14" i="7"/>
  <c r="X14" i="7"/>
  <c r="V14" i="7"/>
  <c r="T14" i="7"/>
  <c r="R14" i="7"/>
  <c r="P14" i="7"/>
  <c r="AD19" i="7"/>
  <c r="AB19" i="7"/>
  <c r="Z19" i="7"/>
  <c r="X19" i="7"/>
  <c r="V19" i="7"/>
  <c r="T19" i="7"/>
  <c r="R19" i="7"/>
  <c r="P19" i="7"/>
  <c r="AD22" i="7"/>
  <c r="AB22" i="7"/>
  <c r="Z22" i="7"/>
  <c r="X22" i="7"/>
  <c r="V22" i="7"/>
  <c r="T22" i="7"/>
  <c r="R22" i="7"/>
  <c r="P22" i="7"/>
  <c r="AD18" i="7"/>
  <c r="AB18" i="7"/>
  <c r="Z18" i="7"/>
  <c r="X18" i="7"/>
  <c r="V18" i="7"/>
  <c r="T18" i="7"/>
  <c r="R18" i="7"/>
  <c r="P18" i="7"/>
  <c r="AD12" i="7"/>
  <c r="AB12" i="7"/>
  <c r="Z12" i="7"/>
  <c r="X12" i="7"/>
  <c r="V12" i="7"/>
  <c r="T12" i="7"/>
  <c r="R12" i="7"/>
  <c r="P12" i="7"/>
  <c r="AD2" i="7"/>
  <c r="AB2" i="7"/>
  <c r="Z2" i="7"/>
  <c r="X2" i="7"/>
  <c r="V2" i="7"/>
  <c r="T2" i="7"/>
  <c r="R2" i="7"/>
  <c r="P2" i="7"/>
  <c r="AD24" i="7"/>
  <c r="AB24" i="7"/>
  <c r="Z24" i="7"/>
  <c r="X24" i="7"/>
  <c r="V24" i="7"/>
  <c r="T24" i="7"/>
  <c r="R24" i="7"/>
  <c r="P24" i="7"/>
  <c r="AD7" i="7"/>
  <c r="AB7" i="7"/>
  <c r="Z7" i="7"/>
  <c r="X7" i="7"/>
  <c r="V7" i="7"/>
  <c r="T7" i="7"/>
  <c r="R7" i="7"/>
  <c r="P7" i="7"/>
  <c r="AD6" i="7"/>
  <c r="AB6" i="7"/>
  <c r="Z6" i="7"/>
  <c r="X6" i="7"/>
  <c r="V6" i="7"/>
  <c r="T6" i="7"/>
  <c r="R6" i="7"/>
  <c r="P6" i="7"/>
  <c r="AD5" i="7"/>
  <c r="AB5" i="7"/>
  <c r="Z5" i="7"/>
  <c r="X5" i="7"/>
  <c r="V5" i="7"/>
  <c r="T5" i="7"/>
  <c r="R5" i="7"/>
  <c r="P5" i="7"/>
  <c r="AD15" i="7"/>
  <c r="AB15" i="7"/>
  <c r="Z15" i="7"/>
  <c r="X15" i="7"/>
  <c r="V15" i="7"/>
  <c r="T15" i="7"/>
  <c r="R15" i="7"/>
  <c r="P15" i="7"/>
  <c r="AD17" i="7"/>
  <c r="AB17" i="7"/>
  <c r="Z17" i="7"/>
  <c r="X17" i="7"/>
  <c r="V17" i="7"/>
  <c r="T17" i="7"/>
  <c r="R17" i="7"/>
  <c r="P17" i="7"/>
  <c r="AD20" i="7"/>
  <c r="AB20" i="7"/>
  <c r="Z20" i="7"/>
  <c r="X20" i="7"/>
  <c r="V20" i="7"/>
  <c r="T20" i="7"/>
  <c r="R20" i="7"/>
  <c r="P20" i="7"/>
  <c r="AD25" i="7"/>
  <c r="AB25" i="7"/>
  <c r="Z25" i="7"/>
  <c r="X25" i="7"/>
  <c r="V25" i="7"/>
  <c r="T25" i="7"/>
  <c r="R25" i="7"/>
  <c r="P25" i="7"/>
  <c r="AD16" i="7"/>
  <c r="AB16" i="7"/>
  <c r="Z16" i="7"/>
  <c r="X16" i="7"/>
  <c r="V16" i="7"/>
  <c r="T16" i="7"/>
  <c r="R16" i="7"/>
  <c r="P16" i="7"/>
  <c r="AD23" i="7"/>
  <c r="AB23" i="7"/>
  <c r="Z23" i="7"/>
  <c r="X23" i="7"/>
  <c r="V23" i="7"/>
  <c r="T23" i="7"/>
  <c r="R23" i="7"/>
  <c r="P23" i="7"/>
  <c r="AD13" i="7"/>
  <c r="AB13" i="7"/>
  <c r="Z13" i="7"/>
  <c r="X13" i="7"/>
  <c r="V13" i="7"/>
  <c r="T13" i="7"/>
  <c r="R13" i="7"/>
  <c r="P13" i="7"/>
  <c r="AD10" i="7"/>
  <c r="AB10" i="7"/>
  <c r="Z10" i="7"/>
  <c r="X10" i="7"/>
  <c r="V10" i="7"/>
  <c r="T10" i="7"/>
  <c r="R10" i="7"/>
  <c r="P10" i="7"/>
  <c r="AD8" i="7"/>
  <c r="AB8" i="7"/>
  <c r="Z8" i="7"/>
  <c r="X8" i="7"/>
  <c r="V8" i="7"/>
  <c r="T8" i="7"/>
  <c r="R8" i="7"/>
  <c r="P8" i="7"/>
  <c r="AD3" i="7"/>
  <c r="AB3" i="7"/>
  <c r="Z3" i="7"/>
  <c r="X3" i="7"/>
  <c r="V3" i="7"/>
  <c r="T3" i="7"/>
  <c r="R3" i="7"/>
  <c r="P3" i="7"/>
  <c r="AD33" i="7"/>
  <c r="AB33" i="7"/>
  <c r="Z33" i="7"/>
  <c r="X33" i="7"/>
  <c r="V33" i="7"/>
  <c r="T33" i="7"/>
  <c r="R33" i="7"/>
  <c r="P33" i="7"/>
  <c r="AD27" i="7"/>
  <c r="AB27" i="7"/>
  <c r="Z27" i="7"/>
  <c r="X27" i="7"/>
  <c r="V27" i="7"/>
  <c r="T27" i="7"/>
  <c r="R27" i="7"/>
  <c r="P27" i="7"/>
  <c r="AD37" i="7"/>
  <c r="AB37" i="7"/>
  <c r="Z37" i="7"/>
  <c r="X37" i="7"/>
  <c r="V37" i="7"/>
  <c r="T37" i="7"/>
  <c r="R37" i="7"/>
  <c r="P37" i="7"/>
  <c r="AD29" i="7"/>
  <c r="AB29" i="7"/>
  <c r="Z29" i="7"/>
  <c r="X29" i="7"/>
  <c r="V29" i="7"/>
  <c r="T29" i="7"/>
  <c r="R29" i="7"/>
  <c r="P29" i="7"/>
  <c r="AD40" i="7"/>
  <c r="AB40" i="7"/>
  <c r="Z40" i="7"/>
  <c r="X40" i="7"/>
  <c r="V40" i="7"/>
  <c r="T40" i="7"/>
  <c r="R40" i="7"/>
  <c r="P40" i="7"/>
  <c r="AD28" i="7"/>
  <c r="AB28" i="7"/>
  <c r="Z28" i="7"/>
  <c r="X28" i="7"/>
  <c r="V28" i="7"/>
  <c r="T28" i="7"/>
  <c r="R28" i="7"/>
  <c r="P28" i="7"/>
  <c r="AD41" i="7"/>
  <c r="AB41" i="7"/>
  <c r="Z41" i="7"/>
  <c r="X41" i="7"/>
  <c r="V41" i="7"/>
  <c r="T41" i="7"/>
  <c r="R41" i="7"/>
  <c r="P41" i="7"/>
  <c r="AD38" i="7"/>
  <c r="AB38" i="7"/>
  <c r="Z38" i="7"/>
  <c r="X38" i="7"/>
  <c r="V38" i="7"/>
  <c r="T38" i="7"/>
  <c r="R38" i="7"/>
  <c r="P38" i="7"/>
  <c r="AD30" i="7"/>
  <c r="AB30" i="7"/>
  <c r="Z30" i="7"/>
  <c r="X30" i="7"/>
  <c r="V30" i="7"/>
  <c r="T30" i="7"/>
  <c r="R30" i="7"/>
  <c r="P30" i="7"/>
  <c r="AD43" i="7"/>
  <c r="AB43" i="7"/>
  <c r="Z43" i="7"/>
  <c r="X43" i="7"/>
  <c r="V43" i="7"/>
  <c r="T43" i="7"/>
  <c r="R43" i="7"/>
  <c r="P43" i="7"/>
  <c r="AD36" i="7"/>
  <c r="AB36" i="7"/>
  <c r="Z36" i="7"/>
  <c r="X36" i="7"/>
  <c r="V36" i="7"/>
  <c r="T36" i="7"/>
  <c r="R36" i="7"/>
  <c r="P36" i="7"/>
  <c r="AD26" i="7"/>
  <c r="AB26" i="7"/>
  <c r="Z26" i="7"/>
  <c r="X26" i="7"/>
  <c r="V26" i="7"/>
  <c r="T26" i="7"/>
  <c r="R26" i="7"/>
  <c r="P26" i="7"/>
  <c r="AD44" i="7"/>
  <c r="AB44" i="7"/>
  <c r="Z44" i="7"/>
  <c r="X44" i="7"/>
  <c r="V44" i="7"/>
  <c r="T44" i="7"/>
  <c r="R44" i="7"/>
  <c r="P44" i="7"/>
  <c r="AD42" i="7"/>
  <c r="AB42" i="7"/>
  <c r="Z42" i="7"/>
  <c r="X42" i="7"/>
  <c r="V42" i="7"/>
  <c r="T42" i="7"/>
  <c r="R42" i="7"/>
  <c r="P42" i="7"/>
  <c r="AD31" i="7"/>
  <c r="AB31" i="7"/>
  <c r="Z31" i="7"/>
  <c r="X31" i="7"/>
  <c r="V31" i="7"/>
  <c r="T31" i="7"/>
  <c r="R31" i="7"/>
  <c r="P31" i="7"/>
  <c r="AD45" i="7"/>
  <c r="AB45" i="7"/>
  <c r="Z45" i="7"/>
  <c r="X45" i="7"/>
  <c r="V45" i="7"/>
  <c r="T45" i="7"/>
  <c r="R45" i="7"/>
  <c r="P45" i="7"/>
  <c r="AD34" i="7"/>
  <c r="AB34" i="7"/>
  <c r="Z34" i="7"/>
  <c r="X34" i="7"/>
  <c r="V34" i="7"/>
  <c r="T34" i="7"/>
  <c r="R34" i="7"/>
  <c r="P34" i="7"/>
  <c r="AD32" i="7"/>
  <c r="AB32" i="7"/>
  <c r="Z32" i="7"/>
  <c r="X32" i="7"/>
  <c r="V32" i="7"/>
  <c r="T32" i="7"/>
  <c r="R32" i="7"/>
  <c r="P32" i="7"/>
  <c r="AD35" i="7"/>
  <c r="AB35" i="7"/>
  <c r="Z35" i="7"/>
  <c r="X35" i="7"/>
  <c r="V35" i="7"/>
  <c r="T35" i="7"/>
  <c r="R35" i="7"/>
  <c r="P35" i="7"/>
  <c r="AD46" i="7"/>
  <c r="AB46" i="7"/>
  <c r="Z46" i="7"/>
  <c r="X46" i="7"/>
  <c r="V46" i="7"/>
  <c r="T46" i="7"/>
  <c r="R46" i="7"/>
  <c r="P46" i="7"/>
  <c r="AD58" i="7"/>
  <c r="AB58" i="7"/>
  <c r="Z58" i="7"/>
  <c r="X58" i="7"/>
  <c r="V58" i="7"/>
  <c r="T58" i="7"/>
  <c r="R58" i="7"/>
  <c r="P58" i="7"/>
  <c r="AD52" i="7"/>
  <c r="AB52" i="7"/>
  <c r="Z52" i="7"/>
  <c r="X52" i="7"/>
  <c r="V52" i="7"/>
  <c r="T52" i="7"/>
  <c r="R52" i="7"/>
  <c r="P52" i="7"/>
  <c r="AD47" i="7"/>
  <c r="AB47" i="7"/>
  <c r="Z47" i="7"/>
  <c r="X47" i="7"/>
  <c r="V47" i="7"/>
  <c r="T47" i="7"/>
  <c r="R47" i="7"/>
  <c r="P47" i="7"/>
  <c r="AD69" i="7"/>
  <c r="AB69" i="7"/>
  <c r="Z69" i="7"/>
  <c r="X69" i="7"/>
  <c r="V69" i="7"/>
  <c r="T69" i="7"/>
  <c r="R69" i="7"/>
  <c r="P69" i="7"/>
  <c r="AD62" i="7"/>
  <c r="AB62" i="7"/>
  <c r="Z62" i="7"/>
  <c r="X62" i="7"/>
  <c r="V62" i="7"/>
  <c r="T62" i="7"/>
  <c r="R62" i="7"/>
  <c r="P62" i="7"/>
  <c r="AD48" i="7"/>
  <c r="AB48" i="7"/>
  <c r="Z48" i="7"/>
  <c r="X48" i="7"/>
  <c r="V48" i="7"/>
  <c r="T48" i="7"/>
  <c r="R48" i="7"/>
  <c r="P48" i="7"/>
  <c r="AD61" i="7"/>
  <c r="AB61" i="7"/>
  <c r="Z61" i="7"/>
  <c r="X61" i="7"/>
  <c r="V61" i="7"/>
  <c r="T61" i="7"/>
  <c r="R61" i="7"/>
  <c r="P61" i="7"/>
  <c r="AD75" i="7"/>
  <c r="AB75" i="7"/>
  <c r="Z75" i="7"/>
  <c r="X75" i="7"/>
  <c r="V75" i="7"/>
  <c r="T75" i="7"/>
  <c r="R75" i="7"/>
  <c r="P75" i="7"/>
  <c r="AD76" i="7"/>
  <c r="AB76" i="7"/>
  <c r="Z76" i="7"/>
  <c r="X76" i="7"/>
  <c r="V76" i="7"/>
  <c r="T76" i="7"/>
  <c r="R76" i="7"/>
  <c r="P76" i="7"/>
  <c r="AD74" i="7"/>
  <c r="AB74" i="7"/>
  <c r="Z74" i="7"/>
  <c r="X74" i="7"/>
  <c r="V74" i="7"/>
  <c r="T74" i="7"/>
  <c r="R74" i="7"/>
  <c r="P74" i="7"/>
  <c r="AD54" i="7"/>
  <c r="AB54" i="7"/>
  <c r="Z54" i="7"/>
  <c r="X54" i="7"/>
  <c r="V54" i="7"/>
  <c r="T54" i="7"/>
  <c r="R54" i="7"/>
  <c r="P54" i="7"/>
  <c r="AD77" i="7"/>
  <c r="AB77" i="7"/>
  <c r="Z77" i="7"/>
  <c r="X77" i="7"/>
  <c r="V77" i="7"/>
  <c r="T77" i="7"/>
  <c r="R77" i="7"/>
  <c r="P77" i="7"/>
  <c r="AD53" i="7"/>
  <c r="AB53" i="7"/>
  <c r="Z53" i="7"/>
  <c r="X53" i="7"/>
  <c r="V53" i="7"/>
  <c r="T53" i="7"/>
  <c r="R53" i="7"/>
  <c r="P53" i="7"/>
  <c r="AD73" i="7"/>
  <c r="AB73" i="7"/>
  <c r="Z73" i="7"/>
  <c r="X73" i="7"/>
  <c r="V73" i="7"/>
  <c r="T73" i="7"/>
  <c r="R73" i="7"/>
  <c r="P73" i="7"/>
  <c r="AD70" i="7"/>
  <c r="AB70" i="7"/>
  <c r="Z70" i="7"/>
  <c r="X70" i="7"/>
  <c r="V70" i="7"/>
  <c r="T70" i="7"/>
  <c r="R70" i="7"/>
  <c r="P70" i="7"/>
  <c r="AD51" i="7"/>
  <c r="AB51" i="7"/>
  <c r="Z51" i="7"/>
  <c r="X51" i="7"/>
  <c r="V51" i="7"/>
  <c r="T51" i="7"/>
  <c r="R51" i="7"/>
  <c r="AD63" i="7"/>
  <c r="Z63" i="7"/>
  <c r="X63" i="7"/>
  <c r="V63" i="7"/>
  <c r="T63" i="7"/>
  <c r="R63" i="7"/>
  <c r="P63" i="7"/>
  <c r="AD67" i="7"/>
  <c r="AB67" i="7"/>
  <c r="X67" i="7"/>
  <c r="V67" i="7"/>
  <c r="T67" i="7"/>
  <c r="R67" i="7"/>
  <c r="P67" i="7"/>
  <c r="AD49" i="7"/>
  <c r="AB49" i="7"/>
  <c r="Z49" i="7"/>
  <c r="X49" i="7"/>
  <c r="V49" i="7"/>
  <c r="T49" i="7"/>
  <c r="P49" i="7"/>
  <c r="AD59" i="7"/>
  <c r="AB59" i="7"/>
  <c r="Z59" i="7"/>
  <c r="X59" i="7"/>
  <c r="V59" i="7"/>
  <c r="T59" i="7"/>
  <c r="R59" i="7"/>
  <c r="P59" i="7"/>
  <c r="AD71" i="7"/>
  <c r="AB71" i="7"/>
  <c r="Z71" i="7"/>
  <c r="X71" i="7"/>
  <c r="V71" i="7"/>
  <c r="T71" i="7"/>
  <c r="R71" i="7"/>
  <c r="P71" i="7"/>
  <c r="AD65" i="7"/>
  <c r="AB65" i="7"/>
  <c r="Z65" i="7"/>
  <c r="X65" i="7"/>
  <c r="V65" i="7"/>
  <c r="T65" i="7"/>
  <c r="R65" i="7"/>
  <c r="P65" i="7"/>
  <c r="AD56" i="7"/>
  <c r="AB56" i="7"/>
  <c r="Z56" i="7"/>
  <c r="X56" i="7"/>
  <c r="V56" i="7"/>
  <c r="T56" i="7"/>
  <c r="R56" i="7"/>
  <c r="P56" i="7"/>
  <c r="AD64" i="7"/>
  <c r="AB64" i="7"/>
  <c r="Z64" i="7"/>
  <c r="X64" i="7"/>
  <c r="V64" i="7"/>
  <c r="T64" i="7"/>
  <c r="R64" i="7"/>
  <c r="P64" i="7"/>
  <c r="AD68" i="7"/>
  <c r="AB68" i="7"/>
  <c r="Z68" i="7"/>
  <c r="X68" i="7"/>
  <c r="V68" i="7"/>
  <c r="T68" i="7"/>
  <c r="R68" i="7"/>
  <c r="P68" i="7"/>
  <c r="AD50" i="7"/>
  <c r="AB50" i="7"/>
  <c r="Z50" i="7"/>
  <c r="X50" i="7"/>
  <c r="V50" i="7"/>
  <c r="T50" i="7"/>
  <c r="R50" i="7"/>
  <c r="P50" i="7"/>
  <c r="AD60" i="7"/>
  <c r="AB60" i="7"/>
  <c r="Z60" i="7"/>
  <c r="X60" i="7"/>
  <c r="V60" i="7"/>
  <c r="T60" i="7"/>
  <c r="R60" i="7"/>
  <c r="P60" i="7"/>
  <c r="AD72" i="7"/>
  <c r="AB72" i="7"/>
  <c r="Z72" i="7"/>
  <c r="X72" i="7"/>
  <c r="V72" i="7"/>
  <c r="T72" i="7"/>
  <c r="R72" i="7"/>
  <c r="P72" i="7"/>
  <c r="AD66" i="7"/>
  <c r="AB66" i="7"/>
  <c r="Z66" i="7"/>
  <c r="X66" i="7"/>
  <c r="V66" i="7"/>
  <c r="T66" i="7"/>
  <c r="R66" i="7"/>
  <c r="P66" i="7"/>
  <c r="AD57" i="7"/>
  <c r="AB57" i="7"/>
  <c r="Z57" i="7"/>
  <c r="X57" i="7"/>
  <c r="V57" i="7"/>
  <c r="T57" i="7"/>
  <c r="R57" i="7"/>
  <c r="P57" i="7"/>
  <c r="AD79" i="7"/>
  <c r="AB79" i="7"/>
  <c r="Z79" i="7"/>
  <c r="X79" i="7"/>
  <c r="V79" i="7"/>
  <c r="T79" i="7"/>
  <c r="R79" i="7"/>
  <c r="P79" i="7"/>
  <c r="AD85" i="7"/>
  <c r="AB85" i="7"/>
  <c r="Z85" i="7"/>
  <c r="X85" i="7"/>
  <c r="V85" i="7"/>
  <c r="T85" i="7"/>
  <c r="R85" i="7"/>
  <c r="P85" i="7"/>
  <c r="AD96" i="7"/>
  <c r="AB96" i="7"/>
  <c r="Z96" i="7"/>
  <c r="X96" i="7"/>
  <c r="V96" i="7"/>
  <c r="T96" i="7"/>
  <c r="R96" i="7"/>
  <c r="P96" i="7"/>
  <c r="AD89" i="7"/>
  <c r="AB89" i="7"/>
  <c r="Z89" i="7"/>
  <c r="X89" i="7"/>
  <c r="V89" i="7"/>
  <c r="T89" i="7"/>
  <c r="R89" i="7"/>
  <c r="P89" i="7"/>
  <c r="AD91" i="7"/>
  <c r="AB91" i="7"/>
  <c r="Z91" i="7"/>
  <c r="X91" i="7"/>
  <c r="V91" i="7"/>
  <c r="T91" i="7"/>
  <c r="R91" i="7"/>
  <c r="P91" i="7"/>
  <c r="AD97" i="7"/>
  <c r="AB97" i="7"/>
  <c r="Z97" i="7"/>
  <c r="X97" i="7"/>
  <c r="V97" i="7"/>
  <c r="T97" i="7"/>
  <c r="R97" i="7"/>
  <c r="P97" i="7"/>
  <c r="AD94" i="7"/>
  <c r="AB94" i="7"/>
  <c r="Z94" i="7"/>
  <c r="X94" i="7"/>
  <c r="V94" i="7"/>
  <c r="T94" i="7"/>
  <c r="R94" i="7"/>
  <c r="P94" i="7"/>
  <c r="AD88" i="7"/>
  <c r="AB88" i="7"/>
  <c r="Z88" i="7"/>
  <c r="X88" i="7"/>
  <c r="V88" i="7"/>
  <c r="T88" i="7"/>
  <c r="R88" i="7"/>
  <c r="P88" i="7"/>
  <c r="AD78" i="7"/>
  <c r="AB78" i="7"/>
  <c r="Z78" i="7"/>
  <c r="X78" i="7"/>
  <c r="V78" i="7"/>
  <c r="T78" i="7"/>
  <c r="R78" i="7"/>
  <c r="P78" i="7"/>
  <c r="AD83" i="7"/>
  <c r="AB83" i="7"/>
  <c r="Z83" i="7"/>
  <c r="X83" i="7"/>
  <c r="V83" i="7"/>
  <c r="T83" i="7"/>
  <c r="R83" i="7"/>
  <c r="P83" i="7"/>
  <c r="AD90" i="7"/>
  <c r="AB90" i="7"/>
  <c r="Z90" i="7"/>
  <c r="X90" i="7"/>
  <c r="V90" i="7"/>
  <c r="T90" i="7"/>
  <c r="R90" i="7"/>
  <c r="P90" i="7"/>
  <c r="AD99" i="7"/>
  <c r="AB99" i="7"/>
  <c r="Z99" i="7"/>
  <c r="X99" i="7"/>
  <c r="V99" i="7"/>
  <c r="T99" i="7"/>
  <c r="R99" i="7"/>
  <c r="P99" i="7"/>
  <c r="AD101" i="7"/>
  <c r="AB101" i="7"/>
  <c r="Z101" i="7"/>
  <c r="X101" i="7"/>
  <c r="V101" i="7"/>
  <c r="T101" i="7"/>
  <c r="R101" i="7"/>
  <c r="P101" i="7"/>
  <c r="AD98" i="7"/>
  <c r="AB98" i="7"/>
  <c r="Z98" i="7"/>
  <c r="X98" i="7"/>
  <c r="V98" i="7"/>
  <c r="T98" i="7"/>
  <c r="R98" i="7"/>
  <c r="P98" i="7"/>
  <c r="AD81" i="7"/>
  <c r="AB81" i="7"/>
  <c r="Z81" i="7"/>
  <c r="X81" i="7"/>
  <c r="V81" i="7"/>
  <c r="T81" i="7"/>
  <c r="R81" i="7"/>
  <c r="P81" i="7"/>
  <c r="AD95" i="7"/>
  <c r="AB95" i="7"/>
  <c r="Z95" i="7"/>
  <c r="X95" i="7"/>
  <c r="V95" i="7"/>
  <c r="T95" i="7"/>
  <c r="R95" i="7"/>
  <c r="P95" i="7"/>
  <c r="AD87" i="7"/>
  <c r="AB87" i="7"/>
  <c r="Z87" i="7"/>
  <c r="X87" i="7"/>
  <c r="V87" i="7"/>
  <c r="T87" i="7"/>
  <c r="R87" i="7"/>
  <c r="P87" i="7"/>
  <c r="AD80" i="7"/>
  <c r="AB80" i="7"/>
  <c r="Z80" i="7"/>
  <c r="X80" i="7"/>
  <c r="V80" i="7"/>
  <c r="T80" i="7"/>
  <c r="R80" i="7"/>
  <c r="P80" i="7"/>
  <c r="AD84" i="7"/>
  <c r="AB84" i="7"/>
  <c r="Z84" i="7"/>
  <c r="X84" i="7"/>
  <c r="V84" i="7"/>
  <c r="T84" i="7"/>
  <c r="R84" i="7"/>
  <c r="P84" i="7"/>
  <c r="AD86" i="7"/>
  <c r="AB86" i="7"/>
  <c r="Z86" i="7"/>
  <c r="X86" i="7"/>
  <c r="V86" i="7"/>
  <c r="T86" i="7"/>
  <c r="R86" i="7"/>
  <c r="P86" i="7"/>
  <c r="AD82" i="7"/>
  <c r="AB82" i="7"/>
  <c r="Z82" i="7"/>
  <c r="X82" i="7"/>
  <c r="V82" i="7"/>
  <c r="T82" i="7"/>
  <c r="R82" i="7"/>
  <c r="P82" i="7"/>
  <c r="AD92" i="7"/>
  <c r="AB92" i="7"/>
  <c r="Z92" i="7"/>
  <c r="X92" i="7"/>
  <c r="V92" i="7"/>
  <c r="T92" i="7"/>
  <c r="R92" i="7"/>
  <c r="P92" i="7"/>
  <c r="AD100" i="7"/>
  <c r="AB100" i="7"/>
  <c r="Z100" i="7"/>
  <c r="X100" i="7"/>
  <c r="V100" i="7"/>
  <c r="T100" i="7"/>
  <c r="R100" i="7"/>
  <c r="P100" i="7"/>
  <c r="AD93" i="7"/>
  <c r="AB93" i="7"/>
  <c r="Z93" i="7"/>
  <c r="X93" i="7"/>
  <c r="V93" i="7"/>
  <c r="T93" i="7"/>
  <c r="R93" i="7"/>
  <c r="P93" i="7"/>
  <c r="AD141" i="7"/>
  <c r="AB141" i="7"/>
  <c r="Z141" i="7"/>
  <c r="X141" i="7"/>
  <c r="V141" i="7"/>
  <c r="T141" i="7"/>
  <c r="R141" i="7"/>
  <c r="P141" i="7"/>
  <c r="AD114" i="7"/>
  <c r="AB114" i="7"/>
  <c r="Z114" i="7"/>
  <c r="X114" i="7"/>
  <c r="V114" i="7"/>
  <c r="T114" i="7"/>
  <c r="R114" i="7"/>
  <c r="P114" i="7"/>
  <c r="AD139" i="7"/>
  <c r="AB139" i="7"/>
  <c r="Z139" i="7"/>
  <c r="X139" i="7"/>
  <c r="V139" i="7"/>
  <c r="T139" i="7"/>
  <c r="R139" i="7"/>
  <c r="P139" i="7"/>
  <c r="AD102" i="7"/>
  <c r="AB102" i="7"/>
  <c r="Z102" i="7"/>
  <c r="X102" i="7"/>
  <c r="V102" i="7"/>
  <c r="T102" i="7"/>
  <c r="R102" i="7"/>
  <c r="P102" i="7"/>
  <c r="AD124" i="7"/>
  <c r="AB124" i="7"/>
  <c r="Z124" i="7"/>
  <c r="X124" i="7"/>
  <c r="V124" i="7"/>
  <c r="T124" i="7"/>
  <c r="R124" i="7"/>
  <c r="P124" i="7"/>
  <c r="AD137" i="7"/>
  <c r="AB137" i="7"/>
  <c r="Z137" i="7"/>
  <c r="X137" i="7"/>
  <c r="V137" i="7"/>
  <c r="T137" i="7"/>
  <c r="R137" i="7"/>
  <c r="P137" i="7"/>
  <c r="AD109" i="7"/>
  <c r="AB109" i="7"/>
  <c r="Z109" i="7"/>
  <c r="X109" i="7"/>
  <c r="V109" i="7"/>
  <c r="T109" i="7"/>
  <c r="R109" i="7"/>
  <c r="P109" i="7"/>
  <c r="AD133" i="7"/>
  <c r="AB133" i="7"/>
  <c r="Z133" i="7"/>
  <c r="X133" i="7"/>
  <c r="V133" i="7"/>
  <c r="T133" i="7"/>
  <c r="R133" i="7"/>
  <c r="P133" i="7"/>
  <c r="AD103" i="7"/>
  <c r="AB103" i="7"/>
  <c r="Z103" i="7"/>
  <c r="X103" i="7"/>
  <c r="V103" i="7"/>
  <c r="T103" i="7"/>
  <c r="R103" i="7"/>
  <c r="P103" i="7"/>
  <c r="AD115" i="7"/>
  <c r="AB115" i="7"/>
  <c r="Z115" i="7"/>
  <c r="X115" i="7"/>
  <c r="V115" i="7"/>
  <c r="T115" i="7"/>
  <c r="R115" i="7"/>
  <c r="P115" i="7"/>
  <c r="AD126" i="7"/>
  <c r="AB126" i="7"/>
  <c r="Z126" i="7"/>
  <c r="X126" i="7"/>
  <c r="V126" i="7"/>
  <c r="T126" i="7"/>
  <c r="R126" i="7"/>
  <c r="P126" i="7"/>
  <c r="AD121" i="7"/>
  <c r="AB121" i="7"/>
  <c r="Z121" i="7"/>
  <c r="X121" i="7"/>
  <c r="V121" i="7"/>
  <c r="T121" i="7"/>
  <c r="R121" i="7"/>
  <c r="P121" i="7"/>
  <c r="AD112" i="7"/>
  <c r="AB112" i="7"/>
  <c r="Z112" i="7"/>
  <c r="X112" i="7"/>
  <c r="V112" i="7"/>
  <c r="T112" i="7"/>
  <c r="R112" i="7"/>
  <c r="P112" i="7"/>
  <c r="AD136" i="7"/>
  <c r="AB136" i="7"/>
  <c r="Z136" i="7"/>
  <c r="X136" i="7"/>
  <c r="V136" i="7"/>
  <c r="T136" i="7"/>
  <c r="R136" i="7"/>
  <c r="P136" i="7"/>
  <c r="AD119" i="7"/>
  <c r="AB119" i="7"/>
  <c r="Z119" i="7"/>
  <c r="X119" i="7"/>
  <c r="V119" i="7"/>
  <c r="T119" i="7"/>
  <c r="R119" i="7"/>
  <c r="P119" i="7"/>
  <c r="AD110" i="7"/>
  <c r="AB110" i="7"/>
  <c r="Z110" i="7"/>
  <c r="X110" i="7"/>
  <c r="V110" i="7"/>
  <c r="T110" i="7"/>
  <c r="R110" i="7"/>
  <c r="P110" i="7"/>
  <c r="AD113" i="7"/>
  <c r="AB113" i="7"/>
  <c r="Z113" i="7"/>
  <c r="X113" i="7"/>
  <c r="V113" i="7"/>
  <c r="T113" i="7"/>
  <c r="R113" i="7"/>
  <c r="P113" i="7"/>
  <c r="AD104" i="7"/>
  <c r="AB104" i="7"/>
  <c r="Z104" i="7"/>
  <c r="X104" i="7"/>
  <c r="V104" i="7"/>
  <c r="T104" i="7"/>
  <c r="R104" i="7"/>
  <c r="P104" i="7"/>
  <c r="AD122" i="7"/>
  <c r="AB122" i="7"/>
  <c r="Z122" i="7"/>
  <c r="X122" i="7"/>
  <c r="V122" i="7"/>
  <c r="T122" i="7"/>
  <c r="R122" i="7"/>
  <c r="P122" i="7"/>
  <c r="AD111" i="7"/>
  <c r="AB111" i="7"/>
  <c r="Z111" i="7"/>
  <c r="X111" i="7"/>
  <c r="V111" i="7"/>
  <c r="T111" i="7"/>
  <c r="R111" i="7"/>
  <c r="P111" i="7"/>
  <c r="AD117" i="7"/>
  <c r="AB117" i="7"/>
  <c r="Z117" i="7"/>
  <c r="X117" i="7"/>
  <c r="V117" i="7"/>
  <c r="T117" i="7"/>
  <c r="R117" i="7"/>
  <c r="P117" i="7"/>
  <c r="AD131" i="7"/>
  <c r="AB131" i="7"/>
  <c r="Z131" i="7"/>
  <c r="X131" i="7"/>
  <c r="V131" i="7"/>
  <c r="T131" i="7"/>
  <c r="R131" i="7"/>
  <c r="P131" i="7"/>
  <c r="AD140" i="7"/>
  <c r="AB140" i="7"/>
  <c r="Z140" i="7"/>
  <c r="X140" i="7"/>
  <c r="V140" i="7"/>
  <c r="T140" i="7"/>
  <c r="R140" i="7"/>
  <c r="P140" i="7"/>
  <c r="AD129" i="7"/>
  <c r="AB129" i="7"/>
  <c r="Z129" i="7"/>
  <c r="X129" i="7"/>
  <c r="V129" i="7"/>
  <c r="T129" i="7"/>
  <c r="R129" i="7"/>
  <c r="P129" i="7"/>
  <c r="AD145" i="7"/>
  <c r="AB145" i="7"/>
  <c r="Z145" i="7"/>
  <c r="X145" i="7"/>
  <c r="V145" i="7"/>
  <c r="T145" i="7"/>
  <c r="R145" i="7"/>
  <c r="P145" i="7"/>
  <c r="AD127" i="7"/>
  <c r="AB127" i="7"/>
  <c r="Z127" i="7"/>
  <c r="X127" i="7"/>
  <c r="V127" i="7"/>
  <c r="T127" i="7"/>
  <c r="R127" i="7"/>
  <c r="P127" i="7"/>
  <c r="AD125" i="7"/>
  <c r="AB125" i="7"/>
  <c r="Z125" i="7"/>
  <c r="X125" i="7"/>
  <c r="V125" i="7"/>
  <c r="T125" i="7"/>
  <c r="R125" i="7"/>
  <c r="P125" i="7"/>
  <c r="AD142" i="7"/>
  <c r="AB142" i="7"/>
  <c r="Z142" i="7"/>
  <c r="X142" i="7"/>
  <c r="V142" i="7"/>
  <c r="T142" i="7"/>
  <c r="R142" i="7"/>
  <c r="P142" i="7"/>
  <c r="AD106" i="7"/>
  <c r="AB106" i="7"/>
  <c r="Z106" i="7"/>
  <c r="X106" i="7"/>
  <c r="V106" i="7"/>
  <c r="T106" i="7"/>
  <c r="R106" i="7"/>
  <c r="P106" i="7"/>
  <c r="AD132" i="7"/>
  <c r="AB132" i="7"/>
  <c r="Z132" i="7"/>
  <c r="X132" i="7"/>
  <c r="V132" i="7"/>
  <c r="T132" i="7"/>
  <c r="R132" i="7"/>
  <c r="P132" i="7"/>
  <c r="AD118" i="7"/>
  <c r="AB118" i="7"/>
  <c r="Z118" i="7"/>
  <c r="X118" i="7"/>
  <c r="V118" i="7"/>
  <c r="T118" i="7"/>
  <c r="R118" i="7"/>
  <c r="P118" i="7"/>
  <c r="AD138" i="7"/>
  <c r="AB138" i="7"/>
  <c r="Z138" i="7"/>
  <c r="X138" i="7"/>
  <c r="V138" i="7"/>
  <c r="T138" i="7"/>
  <c r="R138" i="7"/>
  <c r="P138" i="7"/>
  <c r="AD135" i="7"/>
  <c r="AB135" i="7"/>
  <c r="Z135" i="7"/>
  <c r="X135" i="7"/>
  <c r="V135" i="7"/>
  <c r="T135" i="7"/>
  <c r="R135" i="7"/>
  <c r="P135" i="7"/>
  <c r="AD105" i="7"/>
  <c r="AB105" i="7"/>
  <c r="Z105" i="7"/>
  <c r="X105" i="7"/>
  <c r="V105" i="7"/>
  <c r="T105" i="7"/>
  <c r="R105" i="7"/>
  <c r="P105" i="7"/>
  <c r="AD120" i="7"/>
  <c r="AB120" i="7"/>
  <c r="Z120" i="7"/>
  <c r="X120" i="7"/>
  <c r="V120" i="7"/>
  <c r="T120" i="7"/>
  <c r="R120" i="7"/>
  <c r="P120" i="7"/>
  <c r="AD134" i="7"/>
  <c r="AB134" i="7"/>
  <c r="Z134" i="7"/>
  <c r="X134" i="7"/>
  <c r="V134" i="7"/>
  <c r="T134" i="7"/>
  <c r="R134" i="7"/>
  <c r="P134" i="7"/>
  <c r="AD144" i="7"/>
  <c r="AB144" i="7"/>
  <c r="Z144" i="7"/>
  <c r="X144" i="7"/>
  <c r="V144" i="7"/>
  <c r="T144" i="7"/>
  <c r="R144" i="7"/>
  <c r="P144" i="7"/>
  <c r="AD107" i="7"/>
  <c r="AB107" i="7"/>
  <c r="Z107" i="7"/>
  <c r="X107" i="7"/>
  <c r="V107" i="7"/>
  <c r="T107" i="7"/>
  <c r="R107" i="7"/>
  <c r="P107" i="7"/>
  <c r="AD108" i="7"/>
  <c r="AB108" i="7"/>
  <c r="Z108" i="7"/>
  <c r="X108" i="7"/>
  <c r="V108" i="7"/>
  <c r="T108" i="7"/>
  <c r="R108" i="7"/>
  <c r="P108" i="7"/>
  <c r="AD143" i="7"/>
  <c r="AB143" i="7"/>
  <c r="Z143" i="7"/>
  <c r="X143" i="7"/>
  <c r="V143" i="7"/>
  <c r="T143" i="7"/>
  <c r="R143" i="7"/>
  <c r="P143" i="7"/>
  <c r="AD123" i="7"/>
  <c r="AB123" i="7"/>
  <c r="Z123" i="7"/>
  <c r="X123" i="7"/>
  <c r="V123" i="7"/>
  <c r="T123" i="7"/>
  <c r="R123" i="7"/>
  <c r="P123" i="7"/>
  <c r="AD116" i="7"/>
  <c r="AB116" i="7"/>
  <c r="Z116" i="7"/>
  <c r="X116" i="7"/>
  <c r="V116" i="7"/>
  <c r="T116" i="7"/>
  <c r="R116" i="7"/>
  <c r="P116" i="7"/>
  <c r="AD130" i="7"/>
  <c r="AB130" i="7"/>
  <c r="Z130" i="7"/>
  <c r="X130" i="7"/>
  <c r="V130" i="7"/>
  <c r="T130" i="7"/>
  <c r="R130" i="7"/>
  <c r="P130" i="7"/>
  <c r="AD128" i="7"/>
  <c r="AB128" i="7"/>
  <c r="Z128" i="7"/>
  <c r="X128" i="7"/>
  <c r="V128" i="7"/>
  <c r="T128" i="7"/>
  <c r="R128" i="7"/>
  <c r="P128" i="7"/>
  <c r="AD163" i="7"/>
  <c r="AB163" i="7"/>
  <c r="Z163" i="7"/>
  <c r="X163" i="7"/>
  <c r="V163" i="7"/>
  <c r="T163" i="7"/>
  <c r="R163" i="7"/>
  <c r="P163" i="7"/>
  <c r="AD155" i="7"/>
  <c r="AB155" i="7"/>
  <c r="Z155" i="7"/>
  <c r="X155" i="7"/>
  <c r="V155" i="7"/>
  <c r="T155" i="7"/>
  <c r="R155" i="7"/>
  <c r="P155" i="7"/>
  <c r="AD160" i="7"/>
  <c r="AB160" i="7"/>
  <c r="Z160" i="7"/>
  <c r="X160" i="7"/>
  <c r="V160" i="7"/>
  <c r="T160" i="7"/>
  <c r="R160" i="7"/>
  <c r="P160" i="7"/>
  <c r="AD148" i="7"/>
  <c r="AB148" i="7"/>
  <c r="Z148" i="7"/>
  <c r="X148" i="7"/>
  <c r="V148" i="7"/>
  <c r="T148" i="7"/>
  <c r="R148" i="7"/>
  <c r="P148" i="7"/>
  <c r="AD149" i="7"/>
  <c r="AB149" i="7"/>
  <c r="Z149" i="7"/>
  <c r="X149" i="7"/>
  <c r="V149" i="7"/>
  <c r="T149" i="7"/>
  <c r="R149" i="7"/>
  <c r="P149" i="7"/>
  <c r="AD162" i="7"/>
  <c r="AB162" i="7"/>
  <c r="Z162" i="7"/>
  <c r="X162" i="7"/>
  <c r="V162" i="7"/>
  <c r="T162" i="7"/>
  <c r="R162" i="7"/>
  <c r="P162" i="7"/>
  <c r="AD159" i="7"/>
  <c r="AB159" i="7"/>
  <c r="Z159" i="7"/>
  <c r="X159" i="7"/>
  <c r="V159" i="7"/>
  <c r="T159" i="7"/>
  <c r="R159" i="7"/>
  <c r="P159" i="7"/>
  <c r="AD156" i="7"/>
  <c r="AB156" i="7"/>
  <c r="Z156" i="7"/>
  <c r="X156" i="7"/>
  <c r="V156" i="7"/>
  <c r="T156" i="7"/>
  <c r="R156" i="7"/>
  <c r="P156" i="7"/>
  <c r="AD164" i="7"/>
  <c r="AB164" i="7"/>
  <c r="Z164" i="7"/>
  <c r="X164" i="7"/>
  <c r="V164" i="7"/>
  <c r="T164" i="7"/>
  <c r="R164" i="7"/>
  <c r="P164" i="7"/>
  <c r="AD161" i="7"/>
  <c r="AB161" i="7"/>
  <c r="Z161" i="7"/>
  <c r="X161" i="7"/>
  <c r="V161" i="7"/>
  <c r="T161" i="7"/>
  <c r="R161" i="7"/>
  <c r="P161" i="7"/>
  <c r="AD146" i="7"/>
  <c r="AB146" i="7"/>
  <c r="Z146" i="7"/>
  <c r="X146" i="7"/>
  <c r="V146" i="7"/>
  <c r="T146" i="7"/>
  <c r="R146" i="7"/>
  <c r="P146" i="7"/>
  <c r="AD152" i="7"/>
  <c r="AB152" i="7"/>
  <c r="Z152" i="7"/>
  <c r="X152" i="7"/>
  <c r="V152" i="7"/>
  <c r="T152" i="7"/>
  <c r="R152" i="7"/>
  <c r="P152" i="7"/>
  <c r="AD157" i="7"/>
  <c r="AB157" i="7"/>
  <c r="Z157" i="7"/>
  <c r="X157" i="7"/>
  <c r="V157" i="7"/>
  <c r="T157" i="7"/>
  <c r="R157" i="7"/>
  <c r="P157" i="7"/>
  <c r="AD153" i="7"/>
  <c r="AB153" i="7"/>
  <c r="Z153" i="7"/>
  <c r="X153" i="7"/>
  <c r="V153" i="7"/>
  <c r="T153" i="7"/>
  <c r="R153" i="7"/>
  <c r="P153" i="7"/>
  <c r="AD158" i="7"/>
  <c r="AB158" i="7"/>
  <c r="Z158" i="7"/>
  <c r="X158" i="7"/>
  <c r="V158" i="7"/>
  <c r="T158" i="7"/>
  <c r="R158" i="7"/>
  <c r="P158" i="7"/>
  <c r="AD154" i="7"/>
  <c r="AB154" i="7"/>
  <c r="Z154" i="7"/>
  <c r="X154" i="7"/>
  <c r="V154" i="7"/>
  <c r="T154" i="7"/>
  <c r="R154" i="7"/>
  <c r="P154" i="7"/>
  <c r="AD151" i="7"/>
  <c r="AB151" i="7"/>
  <c r="Z151" i="7"/>
  <c r="X151" i="7"/>
  <c r="V151" i="7"/>
  <c r="T151" i="7"/>
  <c r="R151" i="7"/>
  <c r="P151" i="7"/>
  <c r="AD147" i="7"/>
  <c r="AB147" i="7"/>
  <c r="Z147" i="7"/>
  <c r="X147" i="7"/>
  <c r="V147" i="7"/>
  <c r="T147" i="7"/>
  <c r="R147" i="7"/>
  <c r="P147" i="7"/>
  <c r="AD150" i="7"/>
  <c r="AB150" i="7"/>
  <c r="Z150" i="7"/>
  <c r="X150" i="7"/>
  <c r="V150" i="7"/>
  <c r="T150" i="7"/>
  <c r="R150" i="7"/>
  <c r="P150" i="7"/>
  <c r="AD179" i="7"/>
  <c r="AB179" i="7"/>
  <c r="Z179" i="7"/>
  <c r="X179" i="7"/>
  <c r="V179" i="7"/>
  <c r="T179" i="7"/>
  <c r="R179" i="7"/>
  <c r="P179" i="7"/>
  <c r="AD180" i="7"/>
  <c r="AB180" i="7"/>
  <c r="Z180" i="7"/>
  <c r="X180" i="7"/>
  <c r="V180" i="7"/>
  <c r="T180" i="7"/>
  <c r="R180" i="7"/>
  <c r="P180" i="7"/>
  <c r="AD174" i="7"/>
  <c r="AB174" i="7"/>
  <c r="Z174" i="7"/>
  <c r="X174" i="7"/>
  <c r="V174" i="7"/>
  <c r="T174" i="7"/>
  <c r="R174" i="7"/>
  <c r="P174" i="7"/>
  <c r="AD168" i="7"/>
  <c r="AB168" i="7"/>
  <c r="Z168" i="7"/>
  <c r="X168" i="7"/>
  <c r="V168" i="7"/>
  <c r="T168" i="7"/>
  <c r="R168" i="7"/>
  <c r="P168" i="7"/>
  <c r="AD192" i="7"/>
  <c r="AB192" i="7"/>
  <c r="Z192" i="7"/>
  <c r="X192" i="7"/>
  <c r="V192" i="7"/>
  <c r="T192" i="7"/>
  <c r="R192" i="7"/>
  <c r="P192" i="7"/>
  <c r="AD194" i="7"/>
  <c r="AB194" i="7"/>
  <c r="Z194" i="7"/>
  <c r="X194" i="7"/>
  <c r="V194" i="7"/>
  <c r="T194" i="7"/>
  <c r="R194" i="7"/>
  <c r="P194" i="7"/>
  <c r="AD188" i="7"/>
  <c r="AB188" i="7"/>
  <c r="Z188" i="7"/>
  <c r="X188" i="7"/>
  <c r="V188" i="7"/>
  <c r="T188" i="7"/>
  <c r="R188" i="7"/>
  <c r="P188" i="7"/>
  <c r="AD184" i="7"/>
  <c r="AB184" i="7"/>
  <c r="Z184" i="7"/>
  <c r="X184" i="7"/>
  <c r="V184" i="7"/>
  <c r="R184" i="7"/>
  <c r="P184" i="7"/>
  <c r="AD183" i="7"/>
  <c r="AB183" i="7"/>
  <c r="Z183" i="7"/>
  <c r="X183" i="7"/>
  <c r="V183" i="7"/>
  <c r="T183" i="7"/>
  <c r="R183" i="7"/>
  <c r="P183" i="7"/>
  <c r="AD187" i="7"/>
  <c r="AB187" i="7"/>
  <c r="Z187" i="7"/>
  <c r="X187" i="7"/>
  <c r="V187" i="7"/>
  <c r="T187" i="7"/>
  <c r="R187" i="7"/>
  <c r="P187" i="7"/>
  <c r="AD175" i="7"/>
  <c r="AB175" i="7"/>
  <c r="Z175" i="7"/>
  <c r="X175" i="7"/>
  <c r="AD170" i="7"/>
  <c r="AB170" i="7"/>
  <c r="Z170" i="7"/>
  <c r="X170" i="7"/>
  <c r="V170" i="7"/>
  <c r="T170" i="7"/>
  <c r="R170" i="7"/>
  <c r="P170" i="7"/>
  <c r="AD191" i="7"/>
  <c r="AB191" i="7"/>
  <c r="Z191" i="7"/>
  <c r="X191" i="7"/>
  <c r="V191" i="7"/>
  <c r="T191" i="7"/>
  <c r="R191" i="7"/>
  <c r="P191" i="7"/>
  <c r="AD172" i="7"/>
  <c r="AB172" i="7"/>
  <c r="Z172" i="7"/>
  <c r="X172" i="7"/>
  <c r="V172" i="7"/>
  <c r="T172" i="7"/>
  <c r="R172" i="7"/>
  <c r="P172" i="7"/>
  <c r="AD167" i="7"/>
  <c r="AB167" i="7"/>
  <c r="Z167" i="7"/>
  <c r="X167" i="7"/>
  <c r="V167" i="7"/>
  <c r="T167" i="7"/>
  <c r="R167" i="7"/>
  <c r="P167" i="7"/>
  <c r="AD176" i="7"/>
  <c r="AB176" i="7"/>
  <c r="Z176" i="7"/>
  <c r="X176" i="7"/>
  <c r="V176" i="7"/>
  <c r="T176" i="7"/>
  <c r="R176" i="7"/>
  <c r="P176" i="7"/>
  <c r="AD196" i="7"/>
  <c r="AB196" i="7"/>
  <c r="Z196" i="7"/>
  <c r="X196" i="7"/>
  <c r="V196" i="7"/>
  <c r="T196" i="7"/>
  <c r="R196" i="7"/>
  <c r="P196" i="7"/>
  <c r="AD171" i="7"/>
  <c r="AB171" i="7"/>
  <c r="Z171" i="7"/>
  <c r="X171" i="7"/>
  <c r="V171" i="7"/>
  <c r="T171" i="7"/>
  <c r="R171" i="7"/>
  <c r="P171" i="7"/>
  <c r="AD181" i="7"/>
  <c r="AB181" i="7"/>
  <c r="Z181" i="7"/>
  <c r="X181" i="7"/>
  <c r="V181" i="7"/>
  <c r="T181" i="7"/>
  <c r="R181" i="7"/>
  <c r="P181" i="7"/>
  <c r="AD189" i="7"/>
  <c r="AB189" i="7"/>
  <c r="Z189" i="7"/>
  <c r="X189" i="7"/>
  <c r="V189" i="7"/>
  <c r="T189" i="7"/>
  <c r="R189" i="7"/>
  <c r="P189" i="7"/>
  <c r="AD169" i="7"/>
  <c r="AB169" i="7"/>
  <c r="Z169" i="7"/>
  <c r="X169" i="7"/>
  <c r="V169" i="7"/>
  <c r="T169" i="7"/>
  <c r="R169" i="7"/>
  <c r="P169" i="7"/>
  <c r="AD178" i="7"/>
  <c r="AB178" i="7"/>
  <c r="Z178" i="7"/>
  <c r="X178" i="7"/>
  <c r="V178" i="7"/>
  <c r="T178" i="7"/>
  <c r="R178" i="7"/>
  <c r="P178" i="7"/>
  <c r="AD166" i="7"/>
  <c r="AB166" i="7"/>
  <c r="Z166" i="7"/>
  <c r="X166" i="7"/>
  <c r="V166" i="7"/>
  <c r="T166" i="7"/>
  <c r="R166" i="7"/>
  <c r="P166" i="7"/>
  <c r="AD190" i="7"/>
  <c r="AB190" i="7"/>
  <c r="Z190" i="7"/>
  <c r="X190" i="7"/>
  <c r="V190" i="7"/>
  <c r="T190" i="7"/>
  <c r="R190" i="7"/>
  <c r="P190" i="7"/>
  <c r="AD185" i="7"/>
  <c r="AB185" i="7"/>
  <c r="Z185" i="7"/>
  <c r="X185" i="7"/>
  <c r="V185" i="7"/>
  <c r="T185" i="7"/>
  <c r="R185" i="7"/>
  <c r="P185" i="7"/>
  <c r="AD165" i="7"/>
  <c r="AB165" i="7"/>
  <c r="H16" i="17" s="1"/>
  <c r="Z165" i="7"/>
  <c r="G16" i="17" s="1"/>
  <c r="X165" i="7"/>
  <c r="F16" i="17" s="1"/>
  <c r="V165" i="7"/>
  <c r="D16" i="17" s="1"/>
  <c r="T165" i="7"/>
  <c r="E16" i="17" s="1"/>
  <c r="R165" i="7"/>
  <c r="C16" i="17" s="1"/>
  <c r="P165" i="7"/>
  <c r="B16" i="17" s="1"/>
  <c r="AD182" i="7"/>
  <c r="AB182" i="7"/>
  <c r="X182" i="7"/>
  <c r="V182" i="7"/>
  <c r="T182" i="7"/>
  <c r="R182" i="7"/>
  <c r="P182" i="7"/>
  <c r="AD195" i="7"/>
  <c r="AB195" i="7"/>
  <c r="Z195" i="7"/>
  <c r="X195" i="7"/>
  <c r="V195" i="7"/>
  <c r="T195" i="7"/>
  <c r="R195" i="7"/>
  <c r="P195" i="7"/>
  <c r="AD173" i="7"/>
  <c r="AB173" i="7"/>
  <c r="Z173" i="7"/>
  <c r="X173" i="7"/>
  <c r="V173" i="7"/>
  <c r="T173" i="7"/>
  <c r="R173" i="7"/>
  <c r="P173" i="7"/>
  <c r="AD186" i="7"/>
  <c r="AB186" i="7"/>
  <c r="Z186" i="7"/>
  <c r="X186" i="7"/>
  <c r="V186" i="7"/>
  <c r="T186" i="7"/>
  <c r="R186" i="7"/>
  <c r="P186" i="7"/>
  <c r="AD193" i="7"/>
  <c r="AB193" i="7"/>
  <c r="Z193" i="7"/>
  <c r="X193" i="7"/>
  <c r="V193" i="7"/>
  <c r="T193" i="7"/>
  <c r="R193" i="7"/>
  <c r="P193" i="7"/>
  <c r="AD177" i="7"/>
  <c r="AB177" i="7"/>
  <c r="Z177" i="7"/>
  <c r="X177" i="7"/>
  <c r="V177" i="7"/>
  <c r="T177" i="7"/>
  <c r="R177" i="7"/>
  <c r="P177" i="7"/>
  <c r="AD207" i="7"/>
  <c r="AB207" i="7"/>
  <c r="Z207" i="7"/>
  <c r="X207" i="7"/>
  <c r="V207" i="7"/>
  <c r="T207" i="7"/>
  <c r="R207" i="7"/>
  <c r="P207" i="7"/>
  <c r="AD203" i="7"/>
  <c r="AB203" i="7"/>
  <c r="Z203" i="7"/>
  <c r="X203" i="7"/>
  <c r="V203" i="7"/>
  <c r="T203" i="7"/>
  <c r="R203" i="7"/>
  <c r="P203" i="7"/>
  <c r="AD200" i="7"/>
  <c r="AB200" i="7"/>
  <c r="Z200" i="7"/>
  <c r="X200" i="7"/>
  <c r="V200" i="7"/>
  <c r="T200" i="7"/>
  <c r="R200" i="7"/>
  <c r="P200" i="7"/>
  <c r="AD211" i="7"/>
  <c r="AB211" i="7"/>
  <c r="Z211" i="7"/>
  <c r="X211" i="7"/>
  <c r="V211" i="7"/>
  <c r="T211" i="7"/>
  <c r="R211" i="7"/>
  <c r="P211" i="7"/>
  <c r="AD212" i="7"/>
  <c r="AB212" i="7"/>
  <c r="Z212" i="7"/>
  <c r="X212" i="7"/>
  <c r="V212" i="7"/>
  <c r="T212" i="7"/>
  <c r="R212" i="7"/>
  <c r="P212" i="7"/>
  <c r="AD197" i="7"/>
  <c r="AB197" i="7"/>
  <c r="H17" i="17" s="1"/>
  <c r="Z197" i="7"/>
  <c r="G17" i="17" s="1"/>
  <c r="X197" i="7"/>
  <c r="F17" i="17" s="1"/>
  <c r="V197" i="7"/>
  <c r="D17" i="17" s="1"/>
  <c r="T197" i="7"/>
  <c r="E17" i="17" s="1"/>
  <c r="R197" i="7"/>
  <c r="C17" i="17" s="1"/>
  <c r="P197" i="7"/>
  <c r="B17" i="17" s="1"/>
  <c r="AD209" i="7"/>
  <c r="AB209" i="7"/>
  <c r="Z209" i="7"/>
  <c r="X209" i="7"/>
  <c r="V209" i="7"/>
  <c r="T209" i="7"/>
  <c r="R209" i="7"/>
  <c r="P209" i="7"/>
  <c r="AD213" i="7"/>
  <c r="AB213" i="7"/>
  <c r="Z213" i="7"/>
  <c r="X213" i="7"/>
  <c r="V213" i="7"/>
  <c r="T213" i="7"/>
  <c r="R213" i="7"/>
  <c r="P213" i="7"/>
  <c r="AD198" i="7"/>
  <c r="AB198" i="7"/>
  <c r="Z198" i="7"/>
  <c r="X198" i="7"/>
  <c r="V198" i="7"/>
  <c r="T198" i="7"/>
  <c r="R198" i="7"/>
  <c r="P198" i="7"/>
  <c r="AD201" i="7"/>
  <c r="AB201" i="7"/>
  <c r="Z201" i="7"/>
  <c r="X201" i="7"/>
  <c r="V201" i="7"/>
  <c r="T201" i="7"/>
  <c r="R201" i="7"/>
  <c r="P201" i="7"/>
  <c r="AD215" i="7"/>
  <c r="AB215" i="7"/>
  <c r="Z215" i="7"/>
  <c r="X215" i="7"/>
  <c r="V215" i="7"/>
  <c r="T215" i="7"/>
  <c r="R215" i="7"/>
  <c r="P215" i="7"/>
  <c r="AD206" i="7"/>
  <c r="AB206" i="7"/>
  <c r="Z206" i="7"/>
  <c r="X206" i="7"/>
  <c r="V206" i="7"/>
  <c r="T206" i="7"/>
  <c r="R206" i="7"/>
  <c r="P206" i="7"/>
  <c r="AD218" i="7"/>
  <c r="AB218" i="7"/>
  <c r="Z218" i="7"/>
  <c r="X218" i="7"/>
  <c r="V218" i="7"/>
  <c r="T218" i="7"/>
  <c r="R218" i="7"/>
  <c r="P218" i="7"/>
  <c r="AD199" i="7"/>
  <c r="AB199" i="7"/>
  <c r="Z199" i="7"/>
  <c r="X199" i="7"/>
  <c r="V199" i="7"/>
  <c r="T199" i="7"/>
  <c r="R199" i="7"/>
  <c r="P199" i="7"/>
  <c r="AD214" i="7"/>
  <c r="AB214" i="7"/>
  <c r="Z214" i="7"/>
  <c r="X214" i="7"/>
  <c r="V214" i="7"/>
  <c r="T214" i="7"/>
  <c r="R214" i="7"/>
  <c r="P214" i="7"/>
  <c r="AD204" i="7"/>
  <c r="AB204" i="7"/>
  <c r="Z204" i="7"/>
  <c r="X204" i="7"/>
  <c r="V204" i="7"/>
  <c r="T204" i="7"/>
  <c r="R204" i="7"/>
  <c r="P204" i="7"/>
  <c r="AD210" i="7"/>
  <c r="AB210" i="7"/>
  <c r="Z210" i="7"/>
  <c r="X210" i="7"/>
  <c r="V210" i="7"/>
  <c r="T210" i="7"/>
  <c r="R210" i="7"/>
  <c r="P210" i="7"/>
  <c r="AD216" i="7"/>
  <c r="AB216" i="7"/>
  <c r="Z216" i="7"/>
  <c r="X216" i="7"/>
  <c r="V216" i="7"/>
  <c r="T216" i="7"/>
  <c r="R216" i="7"/>
  <c r="P216" i="7"/>
  <c r="AD217" i="7"/>
  <c r="AB217" i="7"/>
  <c r="Z217" i="7"/>
  <c r="X217" i="7"/>
  <c r="V217" i="7"/>
  <c r="T217" i="7"/>
  <c r="R217" i="7"/>
  <c r="P217" i="7"/>
  <c r="AD205" i="7"/>
  <c r="AB205" i="7"/>
  <c r="Z205" i="7"/>
  <c r="X205" i="7"/>
  <c r="V205" i="7"/>
  <c r="T205" i="7"/>
  <c r="R205" i="7"/>
  <c r="P205" i="7"/>
  <c r="AD202" i="7"/>
  <c r="AB202" i="7"/>
  <c r="Z202" i="7"/>
  <c r="X202" i="7"/>
  <c r="V202" i="7"/>
  <c r="T202" i="7"/>
  <c r="R202" i="7"/>
  <c r="P202" i="7"/>
  <c r="AD208" i="7"/>
  <c r="AB208" i="7"/>
  <c r="Z208" i="7"/>
  <c r="X208" i="7"/>
  <c r="V208" i="7"/>
  <c r="T208" i="7"/>
  <c r="R208" i="7"/>
  <c r="P208" i="7"/>
  <c r="AD227" i="7"/>
  <c r="AD220" i="7"/>
  <c r="AB220" i="7"/>
  <c r="Z220" i="7"/>
  <c r="X220" i="7"/>
  <c r="V220" i="7"/>
  <c r="T220" i="7"/>
  <c r="R220" i="7"/>
  <c r="P220" i="7"/>
  <c r="AD241" i="7"/>
  <c r="AB241" i="7"/>
  <c r="Z241" i="7"/>
  <c r="X241" i="7"/>
  <c r="V241" i="7"/>
  <c r="T241" i="7"/>
  <c r="R241" i="7"/>
  <c r="P241" i="7"/>
  <c r="AD225" i="7"/>
  <c r="AB225" i="7"/>
  <c r="Z225" i="7"/>
  <c r="X225" i="7"/>
  <c r="V225" i="7"/>
  <c r="T225" i="7"/>
  <c r="R225" i="7"/>
  <c r="P225" i="7"/>
  <c r="AD229" i="7"/>
  <c r="AB229" i="7"/>
  <c r="Z229" i="7"/>
  <c r="X229" i="7"/>
  <c r="V229" i="7"/>
  <c r="T229" i="7"/>
  <c r="R229" i="7"/>
  <c r="P229" i="7"/>
  <c r="AD221" i="7"/>
  <c r="AB221" i="7"/>
  <c r="Z221" i="7"/>
  <c r="X221" i="7"/>
  <c r="V221" i="7"/>
  <c r="T221" i="7"/>
  <c r="R221" i="7"/>
  <c r="P221" i="7"/>
  <c r="AD239" i="7"/>
  <c r="AB239" i="7"/>
  <c r="Z239" i="7"/>
  <c r="X239" i="7"/>
  <c r="V239" i="7"/>
  <c r="T239" i="7"/>
  <c r="R239" i="7"/>
  <c r="P239" i="7"/>
  <c r="AD226" i="7"/>
  <c r="AB226" i="7"/>
  <c r="Z226" i="7"/>
  <c r="X226" i="7"/>
  <c r="V226" i="7"/>
  <c r="T226" i="7"/>
  <c r="R226" i="7"/>
  <c r="P226" i="7"/>
  <c r="AD219" i="7"/>
  <c r="AB219" i="7"/>
  <c r="Z219" i="7"/>
  <c r="X219" i="7"/>
  <c r="V219" i="7"/>
  <c r="T219" i="7"/>
  <c r="R219" i="7"/>
  <c r="P219" i="7"/>
  <c r="AD230" i="7"/>
  <c r="AB230" i="7"/>
  <c r="X230" i="7"/>
  <c r="V230" i="7"/>
  <c r="T230" i="7"/>
  <c r="R230" i="7"/>
  <c r="P230" i="7"/>
  <c r="AD224" i="7"/>
  <c r="AB224" i="7"/>
  <c r="Z224" i="7"/>
  <c r="X224" i="7"/>
  <c r="V224" i="7"/>
  <c r="T224" i="7"/>
  <c r="R224" i="7"/>
  <c r="P224" i="7"/>
  <c r="AD243" i="7"/>
  <c r="AB243" i="7"/>
  <c r="Z243" i="7"/>
  <c r="X243" i="7"/>
  <c r="V243" i="7"/>
  <c r="T243" i="7"/>
  <c r="R243" i="7"/>
  <c r="P243" i="7"/>
  <c r="AD234" i="7"/>
  <c r="AB234" i="7"/>
  <c r="Z234" i="7"/>
  <c r="X234" i="7"/>
  <c r="V234" i="7"/>
  <c r="T234" i="7"/>
  <c r="R234" i="7"/>
  <c r="P234" i="7"/>
  <c r="AD240" i="7"/>
  <c r="AB240" i="7"/>
  <c r="Z240" i="7"/>
  <c r="X240" i="7"/>
  <c r="V240" i="7"/>
  <c r="T240" i="7"/>
  <c r="R240" i="7"/>
  <c r="P240" i="7"/>
  <c r="AD236" i="7"/>
  <c r="AB236" i="7"/>
  <c r="Z236" i="7"/>
  <c r="X236" i="7"/>
  <c r="V236" i="7"/>
  <c r="T236" i="7"/>
  <c r="R236" i="7"/>
  <c r="P236" i="7"/>
  <c r="AD235" i="7"/>
  <c r="AB235" i="7"/>
  <c r="Z235" i="7"/>
  <c r="X235" i="7"/>
  <c r="V235" i="7"/>
  <c r="T235" i="7"/>
  <c r="R235" i="7"/>
  <c r="P235" i="7"/>
  <c r="AD242" i="7"/>
  <c r="AB242" i="7"/>
  <c r="X242" i="7"/>
  <c r="T242" i="7"/>
  <c r="R242" i="7"/>
  <c r="AD237" i="7"/>
  <c r="AB237" i="7"/>
  <c r="Z237" i="7"/>
  <c r="X237" i="7"/>
  <c r="V237" i="7"/>
  <c r="T237" i="7"/>
  <c r="R237" i="7"/>
  <c r="P237" i="7"/>
  <c r="AD233" i="7"/>
  <c r="AB233" i="7"/>
  <c r="Z233" i="7"/>
  <c r="X233" i="7"/>
  <c r="V233" i="7"/>
  <c r="T233" i="7"/>
  <c r="R233" i="7"/>
  <c r="P233" i="7"/>
  <c r="AD238" i="7"/>
  <c r="AB238" i="7"/>
  <c r="Z238" i="7"/>
  <c r="X238" i="7"/>
  <c r="V238" i="7"/>
  <c r="T238" i="7"/>
  <c r="R238" i="7"/>
  <c r="P238" i="7"/>
  <c r="AD231" i="7"/>
  <c r="AB231" i="7"/>
  <c r="X231" i="7"/>
  <c r="V231" i="7"/>
  <c r="T231" i="7"/>
  <c r="R231" i="7"/>
  <c r="P231" i="7"/>
  <c r="AD222" i="7"/>
  <c r="AB222" i="7"/>
  <c r="Z222" i="7"/>
  <c r="X222" i="7"/>
  <c r="V222" i="7"/>
  <c r="T222" i="7"/>
  <c r="R222" i="7"/>
  <c r="P222" i="7"/>
  <c r="AD228" i="7"/>
  <c r="AB228" i="7"/>
  <c r="Z228" i="7"/>
  <c r="X228" i="7"/>
  <c r="V228" i="7"/>
  <c r="T228" i="7"/>
  <c r="R228" i="7"/>
  <c r="P228" i="7"/>
  <c r="AD232" i="7"/>
  <c r="AB232" i="7"/>
  <c r="Z232" i="7"/>
  <c r="X232" i="7"/>
  <c r="V232" i="7"/>
  <c r="T232" i="7"/>
  <c r="R232" i="7"/>
  <c r="P232" i="7"/>
  <c r="AD55" i="7"/>
  <c r="AB55" i="7"/>
  <c r="Z55" i="7"/>
  <c r="X55" i="7"/>
  <c r="V55" i="7"/>
  <c r="T55" i="7"/>
  <c r="R55" i="7"/>
  <c r="P55" i="7"/>
  <c r="AD223" i="7"/>
  <c r="AB223" i="7"/>
  <c r="Z223" i="7"/>
  <c r="X223" i="7"/>
  <c r="V223" i="7"/>
  <c r="T223" i="7"/>
  <c r="R223" i="7"/>
  <c r="P223" i="7"/>
  <c r="P9" i="7"/>
  <c r="T9" i="7"/>
  <c r="R9" i="7"/>
  <c r="C18" i="17" l="1"/>
  <c r="G18" i="17"/>
  <c r="G14" i="17"/>
  <c r="H14" i="17"/>
  <c r="H18" i="17"/>
  <c r="B15" i="17"/>
  <c r="B13" i="17"/>
  <c r="C15" i="17"/>
  <c r="C13" i="17"/>
  <c r="E15" i="17"/>
  <c r="E13" i="17"/>
  <c r="D15" i="17"/>
  <c r="D13" i="17"/>
  <c r="F13" i="17"/>
  <c r="B12" i="17"/>
  <c r="B11" i="17"/>
  <c r="E5" i="17" s="1"/>
  <c r="F5" i="17" s="1"/>
  <c r="B10" i="17"/>
  <c r="F15" i="17"/>
  <c r="B18" i="17"/>
  <c r="G15" i="17"/>
  <c r="G13" i="17"/>
  <c r="C12" i="17"/>
  <c r="C11" i="17"/>
  <c r="I5" i="17" s="1"/>
  <c r="C10" i="17"/>
  <c r="H15" i="17"/>
  <c r="H13" i="17"/>
  <c r="E12" i="17"/>
  <c r="E11" i="17"/>
  <c r="Q5" i="17" s="1"/>
  <c r="E10" i="17"/>
  <c r="Q4" i="17" s="1"/>
  <c r="D12" i="17"/>
  <c r="D11" i="17"/>
  <c r="M5" i="17" s="1"/>
  <c r="D10" i="17"/>
  <c r="M4" i="17" s="1"/>
  <c r="D18" i="17"/>
  <c r="B14" i="17"/>
  <c r="F12" i="17"/>
  <c r="F11" i="17"/>
  <c r="U5" i="17" s="1"/>
  <c r="F10" i="17"/>
  <c r="F18" i="17"/>
  <c r="C14" i="17"/>
  <c r="G12" i="17"/>
  <c r="X6" i="17" s="1"/>
  <c r="G11" i="17"/>
  <c r="X5" i="17" s="1"/>
  <c r="G10" i="17"/>
  <c r="X4" i="17" s="1"/>
  <c r="E14" i="17"/>
  <c r="H12" i="17"/>
  <c r="H11" i="17"/>
  <c r="AB5" i="17" s="1"/>
  <c r="H10" i="17"/>
  <c r="D14" i="17"/>
  <c r="E18" i="17"/>
  <c r="F14" i="17"/>
  <c r="E6" i="17" l="1"/>
  <c r="F6" i="17" s="1"/>
  <c r="AB6" i="17"/>
  <c r="AB4" i="17"/>
  <c r="I4" i="17"/>
  <c r="E4" i="17"/>
  <c r="F4" i="17" s="1"/>
  <c r="Q6" i="17"/>
  <c r="M6" i="17"/>
  <c r="I6" i="17"/>
  <c r="U6" i="17"/>
  <c r="U4"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tc={000C232D-2CCB-47A9-BE61-016D5867808E}</author>
  </authors>
  <commentList>
    <comment ref="O22" authorId="0" shapeId="0" xr:uid="{000C232D-2CCB-47A9-BE61-016D5867808E}">
      <text>
        <t>[Comentario encadenado]
Tu versión de Excel te permite leer este comentario encadenado; sin embargo, las ediciones que se apliquen se quitarán si el archivo se abre en una versión más reciente de Excel. Más información: https://go.microsoft.com/fwlink/?linkid=870924
Comentario:
    Separar?</t>
      </text>
    </comment>
  </commentList>
</comments>
</file>

<file path=xl/sharedStrings.xml><?xml version="1.0" encoding="utf-8"?>
<sst xmlns="http://schemas.openxmlformats.org/spreadsheetml/2006/main" count="2895" uniqueCount="524">
  <si>
    <t>Grupo 1</t>
  </si>
  <si>
    <t xml:space="preserve">Rango de edad: 19 a 30 </t>
  </si>
  <si>
    <t>Grupo 2</t>
  </si>
  <si>
    <t xml:space="preserve">Rango de edad: 31-50 años </t>
  </si>
  <si>
    <t>Grupo 3</t>
  </si>
  <si>
    <t>Rango de edad: +50</t>
  </si>
  <si>
    <t>Grupo</t>
  </si>
  <si>
    <t>Alimento</t>
  </si>
  <si>
    <t>Unidad de medida por porción</t>
  </si>
  <si>
    <t>Medida casera</t>
  </si>
  <si>
    <t>Gramos porción</t>
  </si>
  <si>
    <t>Porción elegida</t>
  </si>
  <si>
    <t>Unidades</t>
  </si>
  <si>
    <t>Porción final</t>
  </si>
  <si>
    <t>Cantidad total gramos</t>
  </si>
  <si>
    <t>Unidad de medida</t>
  </si>
  <si>
    <t>Cantidad consumida</t>
  </si>
  <si>
    <t>Desayuno</t>
  </si>
  <si>
    <t>Frutas</t>
  </si>
  <si>
    <t>Fresa</t>
  </si>
  <si>
    <t>unidades</t>
  </si>
  <si>
    <t>Agua</t>
  </si>
  <si>
    <t>Vaso de tinto</t>
  </si>
  <si>
    <t>Grasas</t>
  </si>
  <si>
    <t>Tajada de queso</t>
  </si>
  <si>
    <t>Tajada</t>
  </si>
  <si>
    <t>Arepa</t>
  </si>
  <si>
    <t>Unidad grande</t>
  </si>
  <si>
    <t>Huevo cocido</t>
  </si>
  <si>
    <t>unidad</t>
  </si>
  <si>
    <t>Leguminosas</t>
  </si>
  <si>
    <t xml:space="preserve">Banano </t>
  </si>
  <si>
    <t>Unidad pequeña</t>
  </si>
  <si>
    <t>Huevos</t>
  </si>
  <si>
    <t>Unidad</t>
  </si>
  <si>
    <t>unidad grande</t>
  </si>
  <si>
    <t>Carnes</t>
  </si>
  <si>
    <t xml:space="preserve">Huevo </t>
  </si>
  <si>
    <t>Cuajada</t>
  </si>
  <si>
    <t>Tajada pequeña semi gruesa</t>
  </si>
  <si>
    <t xml:space="preserve">Pan integral </t>
  </si>
  <si>
    <t>tajada mediana</t>
  </si>
  <si>
    <t xml:space="preserve">Jugo de naranja </t>
  </si>
  <si>
    <t>Vaso pequeño</t>
  </si>
  <si>
    <t>Almuerzo</t>
  </si>
  <si>
    <t>Pechuga de pollo</t>
  </si>
  <si>
    <t xml:space="preserve">Unidad </t>
  </si>
  <si>
    <t>Arroz</t>
  </si>
  <si>
    <t>Cucharadas soperas</t>
  </si>
  <si>
    <t>Tomates cherry</t>
  </si>
  <si>
    <t>Lentejas</t>
  </si>
  <si>
    <t>Cucharon colmado</t>
  </si>
  <si>
    <t>Papa cocida</t>
  </si>
  <si>
    <t>unidad mediana</t>
  </si>
  <si>
    <t xml:space="preserve">Papas criollas </t>
  </si>
  <si>
    <t xml:space="preserve">Unidades </t>
  </si>
  <si>
    <t>cucharon colmado</t>
  </si>
  <si>
    <t>Lechuga</t>
  </si>
  <si>
    <t>Hoja</t>
  </si>
  <si>
    <t>TC</t>
  </si>
  <si>
    <t xml:space="preserve">Ensalada </t>
  </si>
  <si>
    <t>T.C</t>
  </si>
  <si>
    <t>Aguacate</t>
  </si>
  <si>
    <t xml:space="preserve">Aguacate </t>
  </si>
  <si>
    <t>Pollo</t>
  </si>
  <si>
    <t>Unidad mediana</t>
  </si>
  <si>
    <t xml:space="preserve">hoja </t>
  </si>
  <si>
    <t>Zanahoria</t>
  </si>
  <si>
    <t>Jugo de guayaba</t>
  </si>
  <si>
    <t xml:space="preserve">Vaso mediano </t>
  </si>
  <si>
    <t>Tomate</t>
  </si>
  <si>
    <t>unidad pequeña</t>
  </si>
  <si>
    <t xml:space="preserve">Cilantro </t>
  </si>
  <si>
    <t>Ramas</t>
  </si>
  <si>
    <t>Comida</t>
  </si>
  <si>
    <t xml:space="preserve">Camarones </t>
  </si>
  <si>
    <t xml:space="preserve">Porción </t>
  </si>
  <si>
    <t xml:space="preserve">Unidad grande </t>
  </si>
  <si>
    <t>Cebolla</t>
  </si>
  <si>
    <t xml:space="preserve">Brócoli </t>
  </si>
  <si>
    <t>Papa criolla</t>
  </si>
  <si>
    <t>Carne de cerdo</t>
  </si>
  <si>
    <t xml:space="preserve">Papa </t>
  </si>
  <si>
    <t>Infusión frutas</t>
  </si>
  <si>
    <t>Arverjas</t>
  </si>
  <si>
    <t xml:space="preserve">Pimienta </t>
  </si>
  <si>
    <t xml:space="preserve">Cucharaditas </t>
  </si>
  <si>
    <t>Platano asado</t>
  </si>
  <si>
    <t>unidad (1/4 del platano)</t>
  </si>
  <si>
    <t xml:space="preserve">Perejil </t>
  </si>
  <si>
    <t>Rama</t>
  </si>
  <si>
    <t>Pimenton</t>
  </si>
  <si>
    <t xml:space="preserve">Limon mediano </t>
  </si>
  <si>
    <t>Apio</t>
  </si>
  <si>
    <t>tallo</t>
  </si>
  <si>
    <t>Panela molida</t>
  </si>
  <si>
    <t>Cucharrada</t>
  </si>
  <si>
    <t>Algo</t>
  </si>
  <si>
    <t>Yogur griego</t>
  </si>
  <si>
    <t>Extra 1 (Media mañana)</t>
  </si>
  <si>
    <t>Yogurt griego</t>
  </si>
  <si>
    <t xml:space="preserve">Media mañana
</t>
  </si>
  <si>
    <t>Mani</t>
  </si>
  <si>
    <t>puñado</t>
  </si>
  <si>
    <t>Mango</t>
  </si>
  <si>
    <t>Frutos secos</t>
  </si>
  <si>
    <t>Cucharadas</t>
  </si>
  <si>
    <t>Nuez</t>
  </si>
  <si>
    <t>Granola</t>
  </si>
  <si>
    <t xml:space="preserve">Cucharas </t>
  </si>
  <si>
    <t>Ensalada de fruta (manzana verde, melón, papaya, piña)</t>
  </si>
  <si>
    <t>Almendras</t>
  </si>
  <si>
    <t xml:space="preserve">Crema de maní </t>
  </si>
  <si>
    <t>Cucharadas dulceras</t>
  </si>
  <si>
    <t>Kiwi</t>
  </si>
  <si>
    <t xml:space="preserve">Avena </t>
  </si>
  <si>
    <t>Cucharas soperas</t>
  </si>
  <si>
    <t>Piña</t>
  </si>
  <si>
    <t>rodaja</t>
  </si>
  <si>
    <t>Manzana</t>
  </si>
  <si>
    <t>Fresas</t>
  </si>
  <si>
    <t>Extra 2</t>
  </si>
  <si>
    <t>Extra 2 (Algo)</t>
  </si>
  <si>
    <t>Gelatina</t>
  </si>
  <si>
    <t>Vaso grande</t>
  </si>
  <si>
    <t>Por la tarde</t>
  </si>
  <si>
    <t>Diccionario de datos</t>
  </si>
  <si>
    <t>Variable</t>
  </si>
  <si>
    <t>Descripción</t>
  </si>
  <si>
    <t>Información sociodemografica</t>
  </si>
  <si>
    <t>ID</t>
  </si>
  <si>
    <t>Identificación de los sujetos por grupo de edad y región
1 - 3 = Medellín
4 - 6 =Guarne
7 - 9 = Santa Rosa
ID 1,4,7: 19 - 30
ID 2,5,8: 31 - 50
ID 3,6,9: +51</t>
  </si>
  <si>
    <t>Region</t>
  </si>
  <si>
    <t xml:space="preserve">Regiones donde se llevo a cabo el estudio </t>
  </si>
  <si>
    <t>Grupo de edad</t>
  </si>
  <si>
    <t>Edad</t>
  </si>
  <si>
    <t> </t>
  </si>
  <si>
    <t>Genero</t>
  </si>
  <si>
    <t>Estrato</t>
  </si>
  <si>
    <t>Educación</t>
  </si>
  <si>
    <t>Nivel de educación
Primaria - secundaria = 1
Universitario, profesional = 2
Posgrado = 3</t>
  </si>
  <si>
    <t>Ocupacion</t>
  </si>
  <si>
    <t>Estado civil</t>
  </si>
  <si>
    <t>Gramaje</t>
  </si>
  <si>
    <t xml:space="preserve">Plato </t>
  </si>
  <si>
    <t>Momento del día donde se consumen los alimentos</t>
  </si>
  <si>
    <t>Grupo del alimento</t>
  </si>
  <si>
    <t>Porciones establecidas en tablas nutricionales para el alimento</t>
  </si>
  <si>
    <t>Unidad de medida casera establecida en tablas nutricionales</t>
  </si>
  <si>
    <t>Gramos correspondientes a la unidad de medida por porción</t>
  </si>
  <si>
    <t>Cantidad del alimento con respecto a la porción establecida en tablas nutricionales</t>
  </si>
  <si>
    <t>Unidades del alimento con respecto a la porción establecida en tablas nutricionales</t>
  </si>
  <si>
    <t>Gramos del alimento escogido</t>
  </si>
  <si>
    <t>Observaciones</t>
  </si>
  <si>
    <t>Puntaje dietas</t>
  </si>
  <si>
    <t xml:space="preserve">Puntaje </t>
  </si>
  <si>
    <t>Puntaje de 1 a 5 establecido por los participantes ante la pregunta: "Cómo calificaría
su almuerzo real?" (En terminos de que tan saludable es)</t>
  </si>
  <si>
    <t>Nivel de educación</t>
  </si>
  <si>
    <t>Medellin</t>
  </si>
  <si>
    <t>19 - 30</t>
  </si>
  <si>
    <t xml:space="preserve">Profesional </t>
  </si>
  <si>
    <t>Estudiante</t>
  </si>
  <si>
    <t>Soltero</t>
  </si>
  <si>
    <t xml:space="preserve">Tecnico </t>
  </si>
  <si>
    <t>PhD</t>
  </si>
  <si>
    <t>Cyber seguridad</t>
  </si>
  <si>
    <t>Empleada</t>
  </si>
  <si>
    <t>31 - 50</t>
  </si>
  <si>
    <t>Universitario</t>
  </si>
  <si>
    <t>Independiente</t>
  </si>
  <si>
    <t>Unión libre</t>
  </si>
  <si>
    <t>Trabajador</t>
  </si>
  <si>
    <t>Bachiller</t>
  </si>
  <si>
    <t>+51</t>
  </si>
  <si>
    <t>Administrador</t>
  </si>
  <si>
    <t>Separado</t>
  </si>
  <si>
    <t>Casado</t>
  </si>
  <si>
    <t>Ama de casa</t>
  </si>
  <si>
    <t>Diseñador</t>
  </si>
  <si>
    <t>Guarne</t>
  </si>
  <si>
    <t>Tecnico</t>
  </si>
  <si>
    <t>Empleado</t>
  </si>
  <si>
    <t>Funcionario Publico</t>
  </si>
  <si>
    <t>Coordinadora</t>
  </si>
  <si>
    <t>Agricultor</t>
  </si>
  <si>
    <t>Union Libre</t>
  </si>
  <si>
    <t>Especialización</t>
  </si>
  <si>
    <t>Productor</t>
  </si>
  <si>
    <t>Serparado</t>
  </si>
  <si>
    <t>Empresaria</t>
  </si>
  <si>
    <t>Primaria</t>
  </si>
  <si>
    <t>Agricultor  independiente</t>
  </si>
  <si>
    <t>Tesorero</t>
  </si>
  <si>
    <t>Santa Rosa</t>
  </si>
  <si>
    <t>Bachiller/Tecnico</t>
  </si>
  <si>
    <t>Tecnologa</t>
  </si>
  <si>
    <t>Apoyo unidad productiva</t>
  </si>
  <si>
    <t>Soltera</t>
  </si>
  <si>
    <t>Profesional</t>
  </si>
  <si>
    <t>Secretaria</t>
  </si>
  <si>
    <t>Genero: M = 0, F = 1</t>
  </si>
  <si>
    <t>Educación: Primaria - secundaria: 1, universitario, profesional = 2, posgrado: 3</t>
  </si>
  <si>
    <t>Calorias por porción LI kcal</t>
  </si>
  <si>
    <t>Calorias porción elegida</t>
  </si>
  <si>
    <t>Proteina por porción LI prot</t>
  </si>
  <si>
    <t>Proteina porción elegida</t>
  </si>
  <si>
    <t>Carbohidratos por porción LI CHO</t>
  </si>
  <si>
    <t>Carbohidratos por porción elegida</t>
  </si>
  <si>
    <t>Grasas por porción LI GT</t>
  </si>
  <si>
    <t>Grasas por porción elegida</t>
  </si>
  <si>
    <t>Fibra por porción LI FD</t>
  </si>
  <si>
    <t>Fibra por porción elegida</t>
  </si>
  <si>
    <t>Calcio por porción LI CA mg</t>
  </si>
  <si>
    <t>Calcio por porción elegida</t>
  </si>
  <si>
    <t xml:space="preserve">Hierro por porción LI FE </t>
  </si>
  <si>
    <t>Hierro por porción elegida</t>
  </si>
  <si>
    <t>Sodio por porción LI NA</t>
  </si>
  <si>
    <t>Sodio por porción elegida</t>
  </si>
  <si>
    <t>Se mencionan infusiones de frutas, agua como sobremesa para analisis cuali</t>
  </si>
  <si>
    <t>Medellín</t>
  </si>
  <si>
    <t xml:space="preserve">Zumo de Limón </t>
  </si>
  <si>
    <t>Cucharada</t>
  </si>
  <si>
    <t>Taza</t>
  </si>
  <si>
    <t>Guayaba (Jugo, 1 guayaba)</t>
  </si>
  <si>
    <t>Media Mañana</t>
  </si>
  <si>
    <t>Yogurt griego (sin azucar)</t>
  </si>
  <si>
    <t>vaso</t>
  </si>
  <si>
    <t>puño</t>
  </si>
  <si>
    <t>Ensalada de fruta (promedio - manzana verde, melón, papaya, piña)</t>
  </si>
  <si>
    <t>Gelatina (con azucar)</t>
  </si>
  <si>
    <t>pocillo chocolatero</t>
  </si>
  <si>
    <t>Infusion de frutas</t>
  </si>
  <si>
    <t>Ver notas</t>
  </si>
  <si>
    <t>+50</t>
  </si>
  <si>
    <t>Cebolla cabezona cruda</t>
  </si>
  <si>
    <t>cucharadas soperas colmadas</t>
  </si>
  <si>
    <t>Media mañana</t>
  </si>
  <si>
    <t>Arepa blanca</t>
  </si>
  <si>
    <t>Chocolate caliente en agua</t>
  </si>
  <si>
    <t>mug</t>
  </si>
  <si>
    <t>Quesito</t>
  </si>
  <si>
    <t>tajada pequeña semigruesa</t>
  </si>
  <si>
    <t>Huevo frito</t>
  </si>
  <si>
    <t>Mantequilla</t>
  </si>
  <si>
    <t>cucharada dulcera</t>
  </si>
  <si>
    <t>Sal</t>
  </si>
  <si>
    <t>pizca</t>
  </si>
  <si>
    <t xml:space="preserve">Piña </t>
  </si>
  <si>
    <t>tajada delgada</t>
  </si>
  <si>
    <t>Frijoles</t>
  </si>
  <si>
    <t>Brocoli</t>
  </si>
  <si>
    <t>pocillo</t>
  </si>
  <si>
    <t>Tajadas de maduro</t>
  </si>
  <si>
    <t>2 tajadas</t>
  </si>
  <si>
    <t>cucharas soperas</t>
  </si>
  <si>
    <t>Pollo a la plancha</t>
  </si>
  <si>
    <t>Fresa (Jugo, sin azucar)</t>
  </si>
  <si>
    <t>1 vaso 200g</t>
  </si>
  <si>
    <t>Carne</t>
  </si>
  <si>
    <t xml:space="preserve">unidad </t>
  </si>
  <si>
    <t>Banano</t>
  </si>
  <si>
    <t>Yogurt (con azucar)</t>
  </si>
  <si>
    <t>vaso pequeño</t>
  </si>
  <si>
    <t>vaso grande</t>
  </si>
  <si>
    <t>Extra</t>
  </si>
  <si>
    <t>Nueces o almendras</t>
  </si>
  <si>
    <t>2 cucharadas dulceras</t>
  </si>
  <si>
    <t>Sal de mar</t>
  </si>
  <si>
    <t>1 pizca</t>
  </si>
  <si>
    <t>Aceite de oliva</t>
  </si>
  <si>
    <t>cucharadita dulcera</t>
  </si>
  <si>
    <t>1 cucharada dulcera</t>
  </si>
  <si>
    <t>Papaya</t>
  </si>
  <si>
    <t>trozo mediano</t>
  </si>
  <si>
    <t>Chocolate caliente</t>
  </si>
  <si>
    <t>Jugo de naranja</t>
  </si>
  <si>
    <t>Café</t>
  </si>
  <si>
    <t>Postre - Ponque</t>
  </si>
  <si>
    <t>trozo pequeño</t>
  </si>
  <si>
    <t>(ver la foto)</t>
  </si>
  <si>
    <t xml:space="preserve">Habichuela </t>
  </si>
  <si>
    <t>medio pocillo chocolatero</t>
  </si>
  <si>
    <t>10g</t>
  </si>
  <si>
    <t>Arverja</t>
  </si>
  <si>
    <t>Cilantro</t>
  </si>
  <si>
    <t>racimo</t>
  </si>
  <si>
    <t>Papa capira</t>
  </si>
  <si>
    <t>Sal marina</t>
  </si>
  <si>
    <t>Mazorca</t>
  </si>
  <si>
    <t>media unidad</t>
  </si>
  <si>
    <t>Mango (jugo)</t>
  </si>
  <si>
    <t>Infusión de frutas</t>
  </si>
  <si>
    <t>bolsita</t>
  </si>
  <si>
    <t>ver notas</t>
  </si>
  <si>
    <t>Ahuyama</t>
  </si>
  <si>
    <t>80g</t>
  </si>
  <si>
    <t>unidades medianas</t>
  </si>
  <si>
    <t>1 vaso pequeño 200g</t>
  </si>
  <si>
    <t>30g</t>
  </si>
  <si>
    <t>Arandanos</t>
  </si>
  <si>
    <t>15g</t>
  </si>
  <si>
    <t>Uvas pasas</t>
  </si>
  <si>
    <t>cucharadas</t>
  </si>
  <si>
    <t>Helado</t>
  </si>
  <si>
    <t>bola pequeña</t>
  </si>
  <si>
    <t>Helado de vainilla - LI 7oz</t>
  </si>
  <si>
    <t>Chocolate caliente en agua (con azucar)</t>
  </si>
  <si>
    <t>pastilla</t>
  </si>
  <si>
    <t>1 mug</t>
  </si>
  <si>
    <t>Pandequeso</t>
  </si>
  <si>
    <t>tajada pequeña</t>
  </si>
  <si>
    <t>Huevo con aliños</t>
  </si>
  <si>
    <t>trozo mediana</t>
  </si>
  <si>
    <t>Salmon</t>
  </si>
  <si>
    <t>Salmon rosado crudo - LI
200g (representado con 2 bagres)</t>
  </si>
  <si>
    <t>Crema de ahuyama</t>
  </si>
  <si>
    <t>Ahuyama - LI</t>
  </si>
  <si>
    <t>Jugo de piña</t>
  </si>
  <si>
    <t>1/2 porcion de piña - LI</t>
  </si>
  <si>
    <t>Lata de atun</t>
  </si>
  <si>
    <t>lata</t>
  </si>
  <si>
    <t>Decian que era de 90g y representan el tamaño de la lata con la circunferencia de un bagre</t>
  </si>
  <si>
    <t>Broccoli</t>
  </si>
  <si>
    <t>Barra de cereal tosh</t>
  </si>
  <si>
    <t>Internet - FITIA
Representada por el tamaño de un ñame</t>
  </si>
  <si>
    <t>Huevo</t>
  </si>
  <si>
    <t>Jamon</t>
  </si>
  <si>
    <t>tajadas</t>
  </si>
  <si>
    <t>Jamon de cerdo - LI</t>
  </si>
  <si>
    <t>Café con leche</t>
  </si>
  <si>
    <t>Leche (mitad agua mitad leche)</t>
  </si>
  <si>
    <t>Arepa de maiz amarillo</t>
  </si>
  <si>
    <t>Tostada</t>
  </si>
  <si>
    <t>1 tostada - LI</t>
  </si>
  <si>
    <t>Papayuela</t>
  </si>
  <si>
    <t>Medio mango</t>
  </si>
  <si>
    <t>Papa</t>
  </si>
  <si>
    <t>Papa comun - LI
Dice 2 pero no el tamaño</t>
  </si>
  <si>
    <t xml:space="preserve">Carne de cerdo </t>
  </si>
  <si>
    <t>Arroz blanco</t>
  </si>
  <si>
    <t>cucharadas soperas</t>
  </si>
  <si>
    <t>Platano maduro</t>
  </si>
  <si>
    <t>No dicen cuantos</t>
  </si>
  <si>
    <t>1/4 de cebolla</t>
  </si>
  <si>
    <t>1/2 de limon</t>
  </si>
  <si>
    <t>Jugo de mango sin azucar</t>
  </si>
  <si>
    <t>Mango - LI</t>
  </si>
  <si>
    <t>Pechuga de pollo asada</t>
  </si>
  <si>
    <t>Arepa de queso con mantequilla</t>
  </si>
  <si>
    <t>arepa</t>
  </si>
  <si>
    <t>Ensalada</t>
  </si>
  <si>
    <t>Agua de panela</t>
  </si>
  <si>
    <t>cucharada sopera colmada</t>
  </si>
  <si>
    <t>Panela en polvo  - LI</t>
  </si>
  <si>
    <t>Pera</t>
  </si>
  <si>
    <t>Leche</t>
  </si>
  <si>
    <t>Zucaritas</t>
  </si>
  <si>
    <t>LI</t>
  </si>
  <si>
    <t xml:space="preserve">Café </t>
  </si>
  <si>
    <t xml:space="preserve">Pandequeso </t>
  </si>
  <si>
    <t>Chocolate caliente sin azucar</t>
  </si>
  <si>
    <t>Arepa de queso</t>
  </si>
  <si>
    <t>Pandequeso pequeño</t>
  </si>
  <si>
    <t>cucharadas colmadas</t>
  </si>
  <si>
    <t>Platano cocido</t>
  </si>
  <si>
    <t>cucharon</t>
  </si>
  <si>
    <t>pocillo colmado</t>
  </si>
  <si>
    <t>Chocolate bajo en azucar</t>
  </si>
  <si>
    <t>Chocolate amargo - LI</t>
  </si>
  <si>
    <t>Pan integral</t>
  </si>
  <si>
    <t>Yogurt con azucar</t>
  </si>
  <si>
    <t>Infusión manzanilla sin azucar</t>
  </si>
  <si>
    <t>Con mantequilla</t>
  </si>
  <si>
    <t>Chocolate caliente con panela</t>
  </si>
  <si>
    <t>Chocolate granulado con panela - LI</t>
  </si>
  <si>
    <t>De aquí para abajo para hacer un sancocho</t>
  </si>
  <si>
    <t>Platano verde</t>
  </si>
  <si>
    <t>Papas criollas</t>
  </si>
  <si>
    <t>Pan arabe</t>
  </si>
  <si>
    <t>Café con leche (endulzante)</t>
  </si>
  <si>
    <t>Bocadillo</t>
  </si>
  <si>
    <t>Mandarina</t>
  </si>
  <si>
    <t>Puntaje</t>
  </si>
  <si>
    <t>faltan 3 puntajes de ID 6</t>
  </si>
  <si>
    <t>Extra 1 
(Media mañana)</t>
  </si>
  <si>
    <t>Extra 2 
(Algo)</t>
  </si>
  <si>
    <t xml:space="preserve">Sal de mar </t>
  </si>
  <si>
    <t>200g (representado con 2 bagres)</t>
  </si>
  <si>
    <t>Jugo de zanahoria o naranja</t>
  </si>
  <si>
    <t>Postre</t>
  </si>
  <si>
    <t>Jugo de frutos rojos</t>
  </si>
  <si>
    <t>Representada por el tamaño de una ñame</t>
  </si>
  <si>
    <t>Yogurt</t>
  </si>
  <si>
    <t>Aromatica</t>
  </si>
  <si>
    <t>7oz</t>
  </si>
  <si>
    <t>Merienda</t>
  </si>
  <si>
    <t>1 tostada</t>
  </si>
  <si>
    <t>Dice 2 pero no el tamaño</t>
  </si>
  <si>
    <t>Limon</t>
  </si>
  <si>
    <t>Café con leche y endulzante</t>
  </si>
  <si>
    <t>30gr</t>
  </si>
  <si>
    <t>Te</t>
  </si>
  <si>
    <t>Media 
mañana</t>
  </si>
  <si>
    <t>taza</t>
  </si>
  <si>
    <t>Lacteos</t>
  </si>
  <si>
    <t>Yogur griego (con azucar)</t>
  </si>
  <si>
    <t>Sustitutos</t>
  </si>
  <si>
    <t>Tomado como pechuga de pollo</t>
  </si>
  <si>
    <t>Leguminosas Cocidas</t>
  </si>
  <si>
    <t>Frijol cargamanto blanco con platano verde - LI</t>
  </si>
  <si>
    <t>Cereales, raíces, tubérculos y plátanos</t>
  </si>
  <si>
    <t>Arepa delgada de maíz blanco trillado  - LI</t>
  </si>
  <si>
    <t>FITIA https://fitia.app/es/calorias-informacion-nutricional/arepas-con-queso-rellenas-con-queso-6002137/</t>
  </si>
  <si>
    <t>Arroz blanco cocido - LI</t>
  </si>
  <si>
    <t>la información no sale en fitia</t>
  </si>
  <si>
    <t>Papa comun - LI</t>
  </si>
  <si>
    <t>Promedio de grupo frutas</t>
  </si>
  <si>
    <t>Guayaba criolla</t>
  </si>
  <si>
    <t>Verduras y hortalizas</t>
  </si>
  <si>
    <t>Menos de 25kcal por 100 gramos</t>
  </si>
  <si>
    <t>Para sancocho</t>
  </si>
  <si>
    <t>Nuez de brazil - LI</t>
  </si>
  <si>
    <t>Azúcares y dulces</t>
  </si>
  <si>
    <t>Jugo de naranja - LI</t>
  </si>
  <si>
    <t>Bebidas no alcohólicas</t>
  </si>
  <si>
    <t>Avena instantanea saborizada</t>
  </si>
  <si>
    <t>Nueces</t>
  </si>
  <si>
    <t>Bocadillo de guayaba - 30gr - TC</t>
  </si>
  <si>
    <t>Hierbas, especias y condimentos</t>
  </si>
  <si>
    <t>Mantequilla de mani</t>
  </si>
  <si>
    <t>Huevo entero frito - TC</t>
  </si>
  <si>
    <t>Huevo cocido duro - TC</t>
  </si>
  <si>
    <t>Leche de vaca entera pasteurizada - LI</t>
  </si>
  <si>
    <t>Lechuga Comun - TC</t>
  </si>
  <si>
    <t>Maiz tierno o choclo - LI</t>
  </si>
  <si>
    <t>Platano maduro - LI</t>
  </si>
  <si>
    <t>2 tajadas - Platano maduro - LI</t>
  </si>
  <si>
    <t>Grupo alimentario</t>
  </si>
  <si>
    <t>31 - 59</t>
  </si>
  <si>
    <t>60+</t>
  </si>
  <si>
    <t>kcal</t>
  </si>
  <si>
    <t>prot</t>
  </si>
  <si>
    <t>gt</t>
  </si>
  <si>
    <t>cho</t>
  </si>
  <si>
    <t>fd</t>
  </si>
  <si>
    <t>ca</t>
  </si>
  <si>
    <t>fe</t>
  </si>
  <si>
    <t>Kcal GABA Masc</t>
  </si>
  <si>
    <t>Kcal GABA Fem</t>
  </si>
  <si>
    <t>Kcal GABA Prom</t>
  </si>
  <si>
    <t>Kcal Percibida</t>
  </si>
  <si>
    <t>Prot GABA Masc</t>
  </si>
  <si>
    <t>Prot GABA Fem</t>
  </si>
  <si>
    <t>GT GABA Mac</t>
  </si>
  <si>
    <t>GT GABA Fem</t>
  </si>
  <si>
    <t>CHO GABA Masc</t>
  </si>
  <si>
    <t>CHO GABA Fem</t>
  </si>
  <si>
    <t>FD GABA Masc</t>
  </si>
  <si>
    <t>FD GABA Fem</t>
  </si>
  <si>
    <t>CA GABA</t>
  </si>
  <si>
    <t>FE BAGA Masc</t>
  </si>
  <si>
    <t>FE GABA Fem</t>
  </si>
  <si>
    <t>Prot Percibida</t>
  </si>
  <si>
    <t>GT Percibida</t>
  </si>
  <si>
    <t>CHO Percibida</t>
  </si>
  <si>
    <t>FD Percibida</t>
  </si>
  <si>
    <t>CA Percibida</t>
  </si>
  <si>
    <t>FE Percibida</t>
  </si>
  <si>
    <t>KCAL</t>
  </si>
  <si>
    <t>GABA</t>
  </si>
  <si>
    <t>ESTUDIO</t>
  </si>
  <si>
    <t>COMPARACION</t>
  </si>
  <si>
    <t>PROT</t>
  </si>
  <si>
    <t>GT</t>
  </si>
  <si>
    <t>CHO</t>
  </si>
  <si>
    <t>CA</t>
  </si>
  <si>
    <t>FE</t>
  </si>
  <si>
    <t>Grupo de alimentos / grupo de edad</t>
  </si>
  <si>
    <t>Hombres (18-59 años)</t>
  </si>
  <si>
    <t>Mujeres (18-59 años)</t>
  </si>
  <si>
    <t>Hombres y mujeres (&gt;60 años)</t>
  </si>
  <si>
    <t>Cereales, tubérculos, raíces y plátanos</t>
  </si>
  <si>
    <t>Verduras y frutas</t>
  </si>
  <si>
    <t>Leche y productos lácteos</t>
  </si>
  <si>
    <t>Carnes, huevos y leguminosas secas</t>
  </si>
  <si>
    <t>Azúcares</t>
  </si>
  <si>
    <t xml:space="preserve">No hay </t>
  </si>
  <si>
    <t>G_Alimento_GABA</t>
  </si>
  <si>
    <t>G_Alimento</t>
  </si>
  <si>
    <t>Promedio adultos y adulto mayor</t>
  </si>
  <si>
    <t>19 a 30 años</t>
  </si>
  <si>
    <t>31 a 50 años</t>
  </si>
  <si>
    <t>Calorias_ref</t>
  </si>
  <si>
    <t>Proteina</t>
  </si>
  <si>
    <t>Fribra</t>
  </si>
  <si>
    <t>Calcio</t>
  </si>
  <si>
    <t>Hierro</t>
  </si>
  <si>
    <t>Sodio</t>
  </si>
  <si>
    <t>51 a 70 años</t>
  </si>
  <si>
    <t>Aclaraciones</t>
  </si>
  <si>
    <t>Se toma los datos de referencia de un adulto de 70kg, según los estándares de la Población Colombiana</t>
  </si>
  <si>
    <t>El valor está en g/kg/dia se multiplica por 70kg para ponerlo al promedio colombiano</t>
  </si>
  <si>
    <t>Proteina_EAR</t>
  </si>
  <si>
    <t>Proteina_RDA</t>
  </si>
  <si>
    <t>CHO_EAR</t>
  </si>
  <si>
    <t>CHO_RDA</t>
  </si>
  <si>
    <t>Están en g/dia  no tenemos que hacer nada</t>
  </si>
  <si>
    <t>Promedio Hombre Mujeres</t>
  </si>
  <si>
    <t>Calcio_EAR</t>
  </si>
  <si>
    <t>Calcio_RDA</t>
  </si>
  <si>
    <t>Hierro_EAR</t>
  </si>
  <si>
    <t>Hierro_RDA</t>
  </si>
  <si>
    <t>Los datos de hombre y mujeres son los mismos</t>
  </si>
  <si>
    <t>Sodio_AI</t>
  </si>
  <si>
    <t>NO está EAR</t>
  </si>
  <si>
    <t>Fribra_AI</t>
  </si>
  <si>
    <t>AI</t>
  </si>
  <si>
    <t>RDA</t>
  </si>
  <si>
    <t>EAR</t>
  </si>
  <si>
    <t>Grasas_AI_min</t>
  </si>
  <si>
    <t>Grasas_AI_max</t>
  </si>
  <si>
    <t>Aporte Dietético Recomendado (RDA - Recommended Dieta°, Allowance): es una estimación del nivel de ingesta diaria promedio de un nutriente, que es suficiente para cubrir las necesidades de casi todos los individuos saludables de un grupo particular (97 - 98%) por período de vida, condición fisiológica y género.</t>
  </si>
  <si>
    <t>lngesta Adecuada (Al - Adequate Intake): nivel de ingesta promedio recomendado sobre la base de estimaciones de ingesta observada de un nutriente o ingesta determinada por aproximaciones experimentales o a partir de estimaciones de la ingesta de nutrientes para un grupo o grupos de personas aparentemente saludables, en quienes se asume que ésta es adecuada, según criterios de adecuación establecidos para cada nutriente. La Al se establece en lugar del RDA cuando no hay suficiente evidencia científica para establecer el EAR y así calcular el RDA.</t>
  </si>
  <si>
    <t>Requerimiento Promedio Estimado (EAR - Estimated Average Requirement): nivel de ingesta promedio diario estimado que cubre el requerimiento de la mitad de los individuos saludables (50%) de un grupo de edad, por periodo de la vida, estado fisiológico y género específicos.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</si>
</sst>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3" x14ac:knownFonts="1">
    <font>
      <sz val="12"/>
      <color theme="1"/>
      <name val="Aptos Narrow"/>
      <family val="2"/>
      <scheme val="minor"/>
    </font>
    <font>
      <b/>
      <sz val="12"/>
      <color theme="1"/>
      <name val="Aptos Narrow"/>
      <family val="2"/>
      <scheme val="minor"/>
    </font>
    <font>
      <b/>
      <sz val="12"/>
      <color theme="1"/>
      <name val="Aptos Narrow"/>
      <scheme val="minor"/>
    </font>
    <font>
      <b/>
      <sz val="14"/>
      <color rgb="FF000000"/>
      <name val="Aptos Narrow"/>
      <scheme val="minor"/>
    </font>
    <font>
      <sz val="12"/>
      <color theme="1"/>
      <name val="Aptos Narrow"/>
      <scheme val="minor"/>
    </font>
    <font>
      <sz val="12"/>
      <color rgb="FF000000"/>
      <name val="Aptos Narrow"/>
      <family val="2"/>
      <scheme val="minor"/>
    </font>
    <font>
      <b/>
      <sz val="12"/>
      <color rgb="FF000000"/>
      <name val="Aptos Narrow"/>
    </font>
    <font>
      <sz val="11"/>
      <color rgb="FF000000"/>
      <name val="Aptos Narrow"/>
      <family val="2"/>
    </font>
    <font>
      <sz val="12"/>
      <color rgb="FF000000"/>
      <name val="Aptos Narrow"/>
      <family val="2"/>
    </font>
    <font>
      <b/>
      <sz val="11"/>
      <color rgb="FF000000"/>
      <name val="Aptos Narrow"/>
    </font>
    <font>
      <b/>
      <sz val="12"/>
      <color rgb="FF000000"/>
      <name val="Aptos Narrow"/>
      <family val="2"/>
    </font>
    <font>
      <sz val="11"/>
      <color rgb="FF242424"/>
      <name val="Aptos Narrow"/>
    </font>
    <font>
      <b/>
      <sz val="11"/>
      <color theme="1"/>
      <name val="Aptos Narrow"/>
      <family val="2"/>
      <scheme val="minor"/>
    </font>
  </fonts>
  <fills count="8">
    <fill>
      <patternFill patternType="none"/>
    </fill>
    <fill>
      <patternFill patternType="gray125"/>
    </fill>
    <fill>
      <patternFill patternType="solid">
        <fgColor rgb="FFDAF2D0"/>
        <bgColor rgb="FF000000"/>
      </patternFill>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
      <patternFill patternType="solid">
        <fgColor rgb="FF83CCEB"/>
        <bgColor rgb="FF000000"/>
      </patternFill>
    </fill>
    <fill>
      <patternFill patternType="solid">
        <fgColor rgb="FFCAEDFB"/>
        <bgColor rgb="FF000000"/>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rgb="FF000000"/>
      </right>
      <top style="thin">
        <color indexed="64"/>
      </top>
      <bottom/>
      <diagonal/>
    </border>
    <border>
      <left/>
      <right style="thin">
        <color rgb="FF000000"/>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24">
    <xf numFmtId="0" fontId="0" fillId="0" borderId="0" xfId="0"/>
    <xf numFmtId="0" fontId="0" fillId="0" borderId="1" xfId="0" applyBorder="1"/>
    <xf numFmtId="0" fontId="2" fillId="0" borderId="1" xfId="0" applyFont="1" applyBorder="1" applyAlignment="1">
      <alignment horizontal="center" vertical="center"/>
    </xf>
    <xf numFmtId="0" fontId="3" fillId="2" borderId="3" xfId="0" applyFont="1" applyFill="1" applyBorder="1" applyAlignment="1">
      <alignment horizontal="center" vertical="center"/>
    </xf>
    <xf numFmtId="0" fontId="3" fillId="2" borderId="6" xfId="0" applyFont="1" applyFill="1" applyBorder="1" applyAlignment="1">
      <alignment horizontal="center" vertical="center"/>
    </xf>
    <xf numFmtId="0" fontId="2"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left"/>
    </xf>
    <xf numFmtId="0" fontId="4" fillId="0" borderId="1" xfId="0" applyFont="1" applyBorder="1" applyAlignment="1">
      <alignment horizontal="left" vertical="center"/>
    </xf>
    <xf numFmtId="1" fontId="0" fillId="0" borderId="1" xfId="0" applyNumberFormat="1" applyBorder="1"/>
    <xf numFmtId="0" fontId="0" fillId="0" borderId="1" xfId="0" applyBorder="1" applyAlignment="1">
      <alignment horizontal="left" vertical="center"/>
    </xf>
    <xf numFmtId="0" fontId="0" fillId="3" borderId="1" xfId="0" applyFill="1" applyBorder="1"/>
    <xf numFmtId="0" fontId="2" fillId="0" borderId="1" xfId="0" applyFont="1" applyBorder="1" applyAlignment="1">
      <alignment horizontal="center" vertical="center" wrapText="1"/>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0" borderId="0" xfId="0" applyAlignment="1">
      <alignment horizontal="center" vertical="center"/>
    </xf>
    <xf numFmtId="164" fontId="0" fillId="0" borderId="1" xfId="0" applyNumberFormat="1" applyBorder="1"/>
    <xf numFmtId="0" fontId="0" fillId="4" borderId="1" xfId="0" applyFill="1" applyBorder="1"/>
    <xf numFmtId="165" fontId="0" fillId="0" borderId="1" xfId="0" applyNumberFormat="1" applyBorder="1"/>
    <xf numFmtId="0" fontId="1" fillId="0" borderId="1" xfId="0" applyFont="1" applyBorder="1" applyAlignment="1">
      <alignment horizontal="center"/>
    </xf>
    <xf numFmtId="0" fontId="0" fillId="0" borderId="1" xfId="0" applyBorder="1" applyAlignment="1">
      <alignment wrapText="1"/>
    </xf>
    <xf numFmtId="0" fontId="2" fillId="0" borderId="10" xfId="0" applyFont="1" applyBorder="1" applyAlignment="1">
      <alignment horizontal="center" vertical="center"/>
    </xf>
    <xf numFmtId="0" fontId="0" fillId="0" borderId="1" xfId="0" applyBorder="1" applyAlignment="1">
      <alignment horizontal="right" vertical="center"/>
    </xf>
    <xf numFmtId="0" fontId="5" fillId="0" borderId="1" xfId="0" applyFont="1" applyBorder="1" applyAlignment="1">
      <alignment horizontal="left"/>
    </xf>
    <xf numFmtId="0" fontId="0" fillId="0" borderId="1" xfId="0" applyBorder="1" applyAlignment="1">
      <alignment horizontal="center"/>
    </xf>
    <xf numFmtId="0" fontId="0" fillId="0" borderId="10" xfId="0" applyBorder="1"/>
    <xf numFmtId="0" fontId="0" fillId="0" borderId="10" xfId="0" applyBorder="1" applyAlignment="1">
      <alignment horizontal="center" vertical="center"/>
    </xf>
    <xf numFmtId="0" fontId="5" fillId="0" borderId="1" xfId="0" applyFont="1" applyBorder="1" applyAlignment="1">
      <alignment horizontal="right"/>
    </xf>
    <xf numFmtId="0" fontId="5" fillId="0" borderId="1" xfId="0" applyFont="1" applyBorder="1" applyAlignment="1">
      <alignment horizontal="center" vertical="center"/>
    </xf>
    <xf numFmtId="0" fontId="2" fillId="0" borderId="8" xfId="0" applyFont="1" applyBorder="1" applyAlignment="1">
      <alignment vertical="center"/>
    </xf>
    <xf numFmtId="0" fontId="1" fillId="0" borderId="8" xfId="0" applyFont="1" applyBorder="1" applyAlignment="1">
      <alignment vertical="center"/>
    </xf>
    <xf numFmtId="0" fontId="7" fillId="0" borderId="14" xfId="0" applyFont="1" applyBorder="1"/>
    <xf numFmtId="165" fontId="7" fillId="0" borderId="14" xfId="0" applyNumberFormat="1" applyFont="1" applyBorder="1"/>
    <xf numFmtId="0" fontId="1" fillId="0" borderId="0" xfId="0" applyFont="1"/>
    <xf numFmtId="0" fontId="8" fillId="0" borderId="0" xfId="0" applyFont="1"/>
    <xf numFmtId="0" fontId="7" fillId="0" borderId="0" xfId="0" applyFont="1"/>
    <xf numFmtId="0" fontId="6" fillId="0" borderId="1" xfId="0" applyFont="1" applyBorder="1" applyAlignment="1">
      <alignment horizontal="center"/>
    </xf>
    <xf numFmtId="0" fontId="6" fillId="0" borderId="13" xfId="0" applyFont="1" applyBorder="1" applyAlignment="1">
      <alignment horizontal="center"/>
    </xf>
    <xf numFmtId="0" fontId="7" fillId="0" borderId="10" xfId="0" applyFont="1" applyBorder="1" applyAlignment="1">
      <alignment horizontal="center"/>
    </xf>
    <xf numFmtId="0" fontId="7" fillId="0" borderId="7" xfId="0" applyFont="1" applyBorder="1" applyAlignment="1">
      <alignment horizontal="center"/>
    </xf>
    <xf numFmtId="0" fontId="7" fillId="0" borderId="7" xfId="0" quotePrefix="1" applyFont="1" applyBorder="1" applyAlignment="1">
      <alignment horizontal="center"/>
    </xf>
    <xf numFmtId="0" fontId="6" fillId="5" borderId="13" xfId="0" applyFont="1" applyFill="1" applyBorder="1" applyAlignment="1">
      <alignment horizontal="center"/>
    </xf>
    <xf numFmtId="0" fontId="7" fillId="5" borderId="7" xfId="0" applyFont="1" applyFill="1" applyBorder="1" applyAlignment="1">
      <alignment horizontal="center"/>
    </xf>
    <xf numFmtId="0" fontId="6" fillId="5" borderId="0" xfId="0" applyFont="1" applyFill="1"/>
    <xf numFmtId="0" fontId="9" fillId="5" borderId="0" xfId="0" applyFont="1" applyFill="1"/>
    <xf numFmtId="0" fontId="10" fillId="6" borderId="17" xfId="0" applyFont="1" applyFill="1" applyBorder="1"/>
    <xf numFmtId="0" fontId="10" fillId="6" borderId="18" xfId="0" applyFont="1" applyFill="1" applyBorder="1"/>
    <xf numFmtId="0" fontId="8" fillId="0" borderId="17" xfId="0" applyFont="1" applyBorder="1"/>
    <xf numFmtId="0" fontId="8" fillId="0" borderId="18" xfId="0" applyFont="1" applyBorder="1" applyAlignment="1">
      <alignment wrapText="1"/>
    </xf>
    <xf numFmtId="0" fontId="8" fillId="0" borderId="18" xfId="0" applyFont="1" applyBorder="1"/>
    <xf numFmtId="0" fontId="0" fillId="0" borderId="14" xfId="0" applyBorder="1"/>
    <xf numFmtId="0" fontId="11" fillId="0" borderId="0" xfId="0" applyFont="1"/>
    <xf numFmtId="0" fontId="1" fillId="0" borderId="14" xfId="0" applyFont="1" applyBorder="1" applyAlignment="1">
      <alignment wrapText="1"/>
    </xf>
    <xf numFmtId="0" fontId="7" fillId="0" borderId="19" xfId="0" applyFont="1" applyBorder="1"/>
    <xf numFmtId="165" fontId="7" fillId="0" borderId="19" xfId="0" applyNumberFormat="1" applyFont="1" applyBorder="1"/>
    <xf numFmtId="0" fontId="0" fillId="0" borderId="19" xfId="0" applyBorder="1"/>
    <xf numFmtId="0" fontId="0" fillId="0" borderId="14" xfId="0" applyBorder="1" applyAlignment="1">
      <alignment horizontal="center"/>
    </xf>
    <xf numFmtId="0" fontId="2" fillId="0" borderId="14" xfId="0" applyFont="1" applyBorder="1" applyAlignment="1">
      <alignment horizontal="center" vertical="center" wrapText="1"/>
    </xf>
    <xf numFmtId="0" fontId="2" fillId="0" borderId="14" xfId="0" applyFont="1" applyBorder="1" applyAlignment="1">
      <alignment horizontal="center" vertical="center"/>
    </xf>
    <xf numFmtId="0" fontId="0" fillId="0" borderId="15" xfId="0" applyBorder="1" applyAlignment="1">
      <alignment horizontal="center"/>
    </xf>
    <xf numFmtId="0" fontId="1" fillId="0" borderId="14" xfId="0" applyFont="1" applyBorder="1" applyAlignment="1">
      <alignment horizontal="center" vertical="center"/>
    </xf>
    <xf numFmtId="0" fontId="0" fillId="0" borderId="15" xfId="0" applyBorder="1" applyAlignment="1">
      <alignment horizontal="center" vertical="center"/>
    </xf>
    <xf numFmtId="0" fontId="0" fillId="0" borderId="14" xfId="0" quotePrefix="1" applyBorder="1" applyAlignment="1">
      <alignment horizontal="center"/>
    </xf>
    <xf numFmtId="0" fontId="4" fillId="0" borderId="14" xfId="0" applyFont="1" applyBorder="1" applyAlignment="1">
      <alignment horizontal="center" vertical="center"/>
    </xf>
    <xf numFmtId="0" fontId="1" fillId="0" borderId="14" xfId="0" applyFont="1" applyBorder="1" applyAlignment="1">
      <alignment horizontal="center"/>
    </xf>
    <xf numFmtId="0" fontId="2" fillId="0" borderId="14" xfId="0" applyFont="1" applyBorder="1" applyAlignment="1">
      <alignment horizontal="center" wrapText="1"/>
    </xf>
    <xf numFmtId="0" fontId="2" fillId="0" borderId="15" xfId="0" applyFont="1" applyBorder="1" applyAlignment="1">
      <alignment horizontal="center" vertical="center" wrapText="1"/>
    </xf>
    <xf numFmtId="0" fontId="1" fillId="0" borderId="14" xfId="0" applyFont="1" applyBorder="1" applyAlignment="1">
      <alignment horizontal="center" wrapText="1"/>
    </xf>
    <xf numFmtId="0" fontId="1" fillId="0" borderId="15" xfId="0" applyFont="1" applyBorder="1" applyAlignment="1">
      <alignment horizontal="center" wrapText="1"/>
    </xf>
    <xf numFmtId="0" fontId="0" fillId="0" borderId="14" xfId="0" applyBorder="1" applyAlignment="1">
      <alignment horizontal="center" vertical="center"/>
    </xf>
    <xf numFmtId="164" fontId="0" fillId="0" borderId="14" xfId="0" applyNumberFormat="1" applyBorder="1" applyAlignment="1">
      <alignment horizontal="center"/>
    </xf>
    <xf numFmtId="0" fontId="5" fillId="0" borderId="14" xfId="0" applyFont="1" applyBorder="1" applyAlignment="1">
      <alignment horizontal="center"/>
    </xf>
    <xf numFmtId="0" fontId="5" fillId="0" borderId="14" xfId="0" applyFont="1" applyBorder="1" applyAlignment="1">
      <alignment horizontal="center" vertical="center"/>
    </xf>
    <xf numFmtId="0" fontId="1" fillId="0" borderId="14" xfId="0" applyFont="1" applyBorder="1" applyAlignment="1">
      <alignment horizontal="center" vertical="center" wrapText="1"/>
    </xf>
    <xf numFmtId="0" fontId="0" fillId="0" borderId="15" xfId="0" applyBorder="1" applyAlignment="1">
      <alignment horizontal="center" wrapText="1"/>
    </xf>
    <xf numFmtId="0" fontId="0" fillId="0" borderId="15" xfId="0" quotePrefix="1" applyBorder="1" applyAlignment="1">
      <alignment horizontal="center"/>
    </xf>
    <xf numFmtId="0" fontId="0" fillId="0" borderId="15" xfId="0" applyBorder="1" applyAlignment="1">
      <alignment horizontal="center" vertical="center" wrapText="1"/>
    </xf>
    <xf numFmtId="1" fontId="0" fillId="0" borderId="14" xfId="0" applyNumberFormat="1" applyBorder="1" applyAlignment="1">
      <alignment horizontal="center"/>
    </xf>
    <xf numFmtId="165" fontId="0" fillId="0" borderId="14" xfId="0" applyNumberFormat="1" applyBorder="1" applyAlignment="1">
      <alignment horizontal="center"/>
    </xf>
    <xf numFmtId="0" fontId="0" fillId="0" borderId="20" xfId="0" applyBorder="1" applyAlignment="1">
      <alignment horizontal="center"/>
    </xf>
    <xf numFmtId="0" fontId="0" fillId="0" borderId="20" xfId="0" applyBorder="1" applyAlignment="1">
      <alignment horizontal="center" vertical="center"/>
    </xf>
    <xf numFmtId="0" fontId="0" fillId="0" borderId="20" xfId="0" applyBorder="1" applyAlignment="1">
      <alignment horizontal="center" wrapText="1"/>
    </xf>
    <xf numFmtId="0" fontId="0" fillId="0" borderId="19" xfId="0" applyBorder="1" applyAlignment="1">
      <alignment horizontal="center" vertical="center"/>
    </xf>
    <xf numFmtId="0" fontId="0" fillId="0" borderId="21" xfId="0" applyBorder="1"/>
    <xf numFmtId="0" fontId="2" fillId="0" borderId="1" xfId="0" applyFont="1" applyBorder="1" applyAlignment="1">
      <alignment horizontal="center"/>
    </xf>
    <xf numFmtId="0" fontId="5" fillId="0" borderId="1" xfId="0" applyFont="1" applyBorder="1" applyAlignment="1">
      <alignment horizontal="center"/>
    </xf>
    <xf numFmtId="0" fontId="12" fillId="0" borderId="1" xfId="0" applyFont="1" applyBorder="1" applyAlignment="1">
      <alignment horizontal="center" vertical="top"/>
    </xf>
    <xf numFmtId="0" fontId="12" fillId="0" borderId="9" xfId="0" applyFont="1" applyBorder="1" applyAlignment="1">
      <alignment horizontal="center" vertical="top"/>
    </xf>
    <xf numFmtId="0" fontId="0" fillId="4" borderId="0" xfId="0" applyFill="1"/>
    <xf numFmtId="0" fontId="2" fillId="0" borderId="1"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8" xfId="0" applyFont="1" applyBorder="1" applyAlignment="1">
      <alignment horizontal="center" vertical="center" wrapText="1"/>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7" xfId="0" applyFont="1" applyFill="1" applyBorder="1" applyAlignment="1">
      <alignment horizontal="center" vertical="center"/>
    </xf>
    <xf numFmtId="0" fontId="10" fillId="6" borderId="15" xfId="0" applyFont="1" applyFill="1" applyBorder="1"/>
    <xf numFmtId="0" fontId="10" fillId="6" borderId="16" xfId="0" applyFont="1" applyFill="1" applyBorder="1"/>
    <xf numFmtId="0" fontId="8" fillId="7" borderId="15" xfId="0" applyFont="1" applyFill="1" applyBorder="1"/>
    <xf numFmtId="0" fontId="8" fillId="7" borderId="16" xfId="0" applyFont="1" applyFill="1" applyBorder="1"/>
    <xf numFmtId="0" fontId="8" fillId="7" borderId="15" xfId="0" applyFont="1" applyFill="1" applyBorder="1" applyAlignment="1">
      <alignment wrapText="1"/>
    </xf>
    <xf numFmtId="0" fontId="8" fillId="7" borderId="16" xfId="0" applyFont="1" applyFill="1" applyBorder="1" applyAlignment="1">
      <alignment wrapText="1"/>
    </xf>
    <xf numFmtId="0" fontId="2" fillId="0" borderId="1" xfId="0" applyFont="1" applyBorder="1" applyAlignment="1">
      <alignment horizontal="center"/>
    </xf>
    <xf numFmtId="0" fontId="2" fillId="0" borderId="21" xfId="0" applyFont="1" applyBorder="1" applyAlignment="1">
      <alignment horizontal="center"/>
    </xf>
    <xf numFmtId="0" fontId="2" fillId="0" borderId="22" xfId="0" applyFont="1" applyBorder="1" applyAlignment="1">
      <alignment horizontal="center"/>
    </xf>
    <xf numFmtId="0" fontId="2" fillId="0" borderId="13" xfId="0" applyFont="1" applyBorder="1" applyAlignment="1">
      <alignment horizontal="center"/>
    </xf>
    <xf numFmtId="0" fontId="0" fillId="0" borderId="0" xfId="0" applyAlignment="1">
      <alignment horizontal="center" wrapText="1"/>
    </xf>
    <xf numFmtId="0" fontId="3" fillId="2" borderId="1" xfId="0" applyFont="1" applyFill="1" applyBorder="1" applyAlignment="1">
      <alignment horizontal="center" vertical="center"/>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22</xdr:col>
      <xdr:colOff>104368</xdr:colOff>
      <xdr:row>30</xdr:row>
      <xdr:rowOff>94090</xdr:rowOff>
    </xdr:from>
    <xdr:to>
      <xdr:col>30</xdr:col>
      <xdr:colOff>601978</xdr:colOff>
      <xdr:row>50</xdr:row>
      <xdr:rowOff>45831</xdr:rowOff>
    </xdr:to>
    <xdr:pic>
      <xdr:nvPicPr>
        <xdr:cNvPr id="3" name="Picture 2">
          <a:extLst>
            <a:ext uri="{FF2B5EF4-FFF2-40B4-BE49-F238E27FC236}">
              <a16:creationId xmlns:a16="http://schemas.microsoft.com/office/drawing/2014/main" id="{ED44834D-F1EA-B740-41AC-7FD2BCC5721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417268" y="5986890"/>
          <a:ext cx="7783176" cy="4015741"/>
        </a:xfrm>
        <a:prstGeom prst="rect">
          <a:avLst/>
        </a:prstGeom>
      </xdr:spPr>
    </xdr:pic>
    <xdr:clientData/>
  </xdr:twoCellAnchor>
  <xdr:twoCellAnchor editAs="oneCell">
    <xdr:from>
      <xdr:col>7</xdr:col>
      <xdr:colOff>687228</xdr:colOff>
      <xdr:row>29</xdr:row>
      <xdr:rowOff>61742</xdr:rowOff>
    </xdr:from>
    <xdr:to>
      <xdr:col>15</xdr:col>
      <xdr:colOff>109917</xdr:colOff>
      <xdr:row>50</xdr:row>
      <xdr:rowOff>147086</xdr:rowOff>
    </xdr:to>
    <xdr:pic>
      <xdr:nvPicPr>
        <xdr:cNvPr id="5" name="Picture 4">
          <a:extLst>
            <a:ext uri="{FF2B5EF4-FFF2-40B4-BE49-F238E27FC236}">
              <a16:creationId xmlns:a16="http://schemas.microsoft.com/office/drawing/2014/main" id="{9C77B9B3-A573-2842-9FE5-93657A5C50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921167" y="5988409"/>
          <a:ext cx="7790066" cy="453034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na Sofia Herazo Castelblanco" id="{74084489-66B9-B344-BD81-1A32CF7F64E6}" userId="S::asherazoc@eafit.edu.co::6f1750cf-1b5a-416f-85f9-3d552f56fdf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O22" dT="2024-05-21T21:31:29.16" personId="{74084489-66B9-B344-BD81-1A32CF7F64E6}" id="{000C232D-2CCB-47A9-BE61-016D5867808E}">
    <text>Separar?</text>
  </threadedComment>
</ThreadedComment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66590-057C-7340-B1FB-846414ECCC37}">
  <dimension ref="C2:AG43"/>
  <sheetViews>
    <sheetView zoomScale="110" zoomScaleNormal="150" workbookViewId="0">
      <selection activeCell="C5" sqref="C5:C12"/>
    </sheetView>
  </sheetViews>
  <sheetFormatPr baseColWidth="10" defaultColWidth="10.83203125" defaultRowHeight="16" x14ac:dyDescent="0.2"/>
  <cols>
    <col min="4" max="4" width="14.83203125" hidden="1" customWidth="1"/>
    <col min="5" max="5" width="18.1640625" customWidth="1"/>
    <col min="6" max="6" width="13.83203125" customWidth="1"/>
    <col min="7" max="7" width="18.83203125" customWidth="1"/>
    <col min="8" max="9" width="10.83203125" style="15"/>
    <col min="10" max="10" width="8.5" style="15" customWidth="1"/>
    <col min="11" max="11" width="10.83203125" style="15"/>
    <col min="12" max="12" width="14.1640625" style="15" customWidth="1"/>
    <col min="15" max="15" width="0" hidden="1" customWidth="1"/>
    <col min="16" max="16" width="46" customWidth="1"/>
    <col min="17" max="17" width="15.83203125" bestFit="1" customWidth="1"/>
    <col min="18" max="18" width="23.33203125" bestFit="1" customWidth="1"/>
    <col min="19" max="20" width="12.83203125" bestFit="1" customWidth="1"/>
    <col min="21" max="21" width="11.33203125" bestFit="1" customWidth="1"/>
    <col min="25" max="25" width="0" hidden="1" customWidth="1"/>
    <col min="26" max="26" width="14" customWidth="1"/>
    <col min="28" max="28" width="21.5" customWidth="1"/>
  </cols>
  <sheetData>
    <row r="2" spans="3:32" ht="16" customHeight="1" x14ac:dyDescent="0.2">
      <c r="C2" s="97" t="s">
        <v>0</v>
      </c>
      <c r="D2" s="98"/>
      <c r="E2" s="98"/>
      <c r="F2" s="103"/>
      <c r="G2" s="3"/>
      <c r="H2" s="97" t="s">
        <v>1</v>
      </c>
      <c r="I2" s="98"/>
      <c r="J2" s="98"/>
      <c r="K2" s="98"/>
      <c r="L2" s="99"/>
      <c r="N2" s="97" t="s">
        <v>2</v>
      </c>
      <c r="O2" s="98"/>
      <c r="P2" s="98"/>
      <c r="Q2" s="103"/>
      <c r="R2" s="3"/>
      <c r="S2" s="97" t="s">
        <v>3</v>
      </c>
      <c r="T2" s="98"/>
      <c r="U2" s="98"/>
      <c r="V2" s="99"/>
      <c r="X2" s="97" t="s">
        <v>4</v>
      </c>
      <c r="Y2" s="98"/>
      <c r="Z2" s="98"/>
      <c r="AA2" s="103"/>
      <c r="AB2" s="3"/>
      <c r="AC2" s="97" t="s">
        <v>5</v>
      </c>
      <c r="AD2" s="98"/>
      <c r="AE2" s="98"/>
      <c r="AF2" s="99"/>
    </row>
    <row r="3" spans="3:32" ht="16" customHeight="1" x14ac:dyDescent="0.2">
      <c r="C3" s="100"/>
      <c r="D3" s="101"/>
      <c r="E3" s="101"/>
      <c r="F3" s="104"/>
      <c r="G3" s="4"/>
      <c r="H3" s="100"/>
      <c r="I3" s="101"/>
      <c r="J3" s="101"/>
      <c r="K3" s="101"/>
      <c r="L3" s="102"/>
      <c r="N3" s="100"/>
      <c r="O3" s="101"/>
      <c r="P3" s="101"/>
      <c r="Q3" s="104"/>
      <c r="R3" s="4"/>
      <c r="S3" s="100"/>
      <c r="T3" s="101"/>
      <c r="U3" s="101"/>
      <c r="V3" s="102"/>
      <c r="X3" s="100"/>
      <c r="Y3" s="101"/>
      <c r="Z3" s="101"/>
      <c r="AA3" s="104"/>
      <c r="AB3" s="4"/>
      <c r="AC3" s="100"/>
      <c r="AD3" s="101"/>
      <c r="AE3" s="101"/>
      <c r="AF3" s="102"/>
    </row>
    <row r="4" spans="3:32" ht="51" x14ac:dyDescent="0.2">
      <c r="C4" s="1"/>
      <c r="D4" s="5" t="s">
        <v>6</v>
      </c>
      <c r="E4" s="5" t="s">
        <v>7</v>
      </c>
      <c r="F4" s="5" t="s">
        <v>8</v>
      </c>
      <c r="G4" s="5" t="s">
        <v>9</v>
      </c>
      <c r="H4" s="12" t="s">
        <v>10</v>
      </c>
      <c r="I4" s="12" t="s">
        <v>11</v>
      </c>
      <c r="J4" s="12" t="s">
        <v>12</v>
      </c>
      <c r="K4" s="12" t="s">
        <v>13</v>
      </c>
      <c r="L4" s="12" t="s">
        <v>14</v>
      </c>
      <c r="N4" s="1"/>
      <c r="O4" s="5" t="s">
        <v>6</v>
      </c>
      <c r="P4" s="5" t="s">
        <v>7</v>
      </c>
      <c r="Q4" s="5" t="s">
        <v>15</v>
      </c>
      <c r="R4" s="5" t="s">
        <v>9</v>
      </c>
      <c r="S4" s="5" t="s">
        <v>10</v>
      </c>
      <c r="T4" s="5" t="s">
        <v>16</v>
      </c>
      <c r="U4" s="5" t="s">
        <v>13</v>
      </c>
      <c r="V4" s="5" t="s">
        <v>14</v>
      </c>
      <c r="X4" s="1"/>
      <c r="Y4" s="5" t="s">
        <v>6</v>
      </c>
      <c r="Z4" s="5" t="s">
        <v>7</v>
      </c>
      <c r="AA4" s="5" t="s">
        <v>15</v>
      </c>
      <c r="AB4" s="5" t="s">
        <v>9</v>
      </c>
      <c r="AC4" s="5" t="s">
        <v>10</v>
      </c>
      <c r="AD4" s="5" t="s">
        <v>16</v>
      </c>
      <c r="AE4" s="5" t="s">
        <v>13</v>
      </c>
      <c r="AF4" s="5" t="s">
        <v>14</v>
      </c>
    </row>
    <row r="5" spans="3:32" x14ac:dyDescent="0.2">
      <c r="C5" s="93" t="s">
        <v>17</v>
      </c>
      <c r="D5" s="2" t="s">
        <v>18</v>
      </c>
      <c r="E5" s="7" t="s">
        <v>19</v>
      </c>
      <c r="F5" s="1">
        <v>9</v>
      </c>
      <c r="G5" s="1" t="s">
        <v>20</v>
      </c>
      <c r="H5" s="13">
        <v>161</v>
      </c>
      <c r="I5" s="13">
        <v>0.5</v>
      </c>
      <c r="J5" s="13"/>
      <c r="K5" s="13">
        <f>IF(I5=0,(J5/F5),I5)</f>
        <v>0.5</v>
      </c>
      <c r="L5" s="13">
        <f>K5*H5</f>
        <v>80.5</v>
      </c>
      <c r="N5" s="93" t="s">
        <v>17</v>
      </c>
      <c r="O5" s="2" t="s">
        <v>18</v>
      </c>
      <c r="P5" s="1" t="s">
        <v>19</v>
      </c>
      <c r="Q5" s="1">
        <v>9</v>
      </c>
      <c r="R5" s="1" t="s">
        <v>20</v>
      </c>
      <c r="S5" s="1">
        <v>161</v>
      </c>
      <c r="T5" s="1">
        <v>3</v>
      </c>
      <c r="U5" s="1">
        <f t="shared" ref="U5:U43" si="0">+T5/Q5</f>
        <v>0.33333333333333331</v>
      </c>
      <c r="V5" s="1">
        <f>S5*U5</f>
        <v>53.666666666666664</v>
      </c>
      <c r="X5" s="93" t="s">
        <v>17</v>
      </c>
      <c r="Y5" s="6"/>
      <c r="Z5" s="1" t="s">
        <v>21</v>
      </c>
      <c r="AA5" s="1">
        <v>1</v>
      </c>
      <c r="AB5" s="1" t="s">
        <v>22</v>
      </c>
      <c r="AC5" s="1"/>
      <c r="AD5" s="1">
        <v>1</v>
      </c>
      <c r="AE5" s="1">
        <f t="shared" ref="AE5:AE43" si="1">+AD5/AA5</f>
        <v>1</v>
      </c>
      <c r="AF5" s="1">
        <f>AC5*AE5</f>
        <v>0</v>
      </c>
    </row>
    <row r="6" spans="3:32" x14ac:dyDescent="0.2">
      <c r="C6" s="94"/>
      <c r="D6" s="6" t="s">
        <v>23</v>
      </c>
      <c r="E6" s="8" t="s">
        <v>24</v>
      </c>
      <c r="F6" s="1">
        <v>1</v>
      </c>
      <c r="G6" s="1" t="s">
        <v>25</v>
      </c>
      <c r="H6" s="13">
        <v>20</v>
      </c>
      <c r="I6" s="13">
        <v>1</v>
      </c>
      <c r="J6" s="13"/>
      <c r="K6" s="13">
        <f>IF(I6=0,(J6/F6),I6)</f>
        <v>1</v>
      </c>
      <c r="L6" s="13">
        <f>H6*K6</f>
        <v>20</v>
      </c>
      <c r="N6" s="94"/>
      <c r="O6" s="6"/>
      <c r="P6" s="8" t="s">
        <v>26</v>
      </c>
      <c r="Q6" s="1">
        <v>1</v>
      </c>
      <c r="R6" s="1" t="s">
        <v>27</v>
      </c>
      <c r="S6" s="1">
        <v>52</v>
      </c>
      <c r="T6" s="1">
        <v>1</v>
      </c>
      <c r="U6" s="1">
        <f t="shared" si="0"/>
        <v>1</v>
      </c>
      <c r="V6" s="1">
        <f>S6*U6</f>
        <v>52</v>
      </c>
      <c r="X6" s="94"/>
      <c r="Y6" s="6"/>
      <c r="Z6" s="10" t="s">
        <v>28</v>
      </c>
      <c r="AA6" s="1">
        <v>1</v>
      </c>
      <c r="AB6" s="1" t="s">
        <v>29</v>
      </c>
      <c r="AC6" s="1">
        <v>50</v>
      </c>
      <c r="AD6" s="1">
        <v>2</v>
      </c>
      <c r="AE6" s="1">
        <f t="shared" si="1"/>
        <v>2</v>
      </c>
      <c r="AF6" s="1">
        <f>AC6*AE6</f>
        <v>100</v>
      </c>
    </row>
    <row r="7" spans="3:32" x14ac:dyDescent="0.2">
      <c r="C7" s="94"/>
      <c r="D7" s="2" t="s">
        <v>30</v>
      </c>
      <c r="E7" s="7" t="s">
        <v>31</v>
      </c>
      <c r="F7" s="1">
        <v>1</v>
      </c>
      <c r="G7" s="1" t="s">
        <v>32</v>
      </c>
      <c r="H7" s="13">
        <v>65</v>
      </c>
      <c r="I7" s="13">
        <v>1</v>
      </c>
      <c r="J7" s="13"/>
      <c r="K7" s="13">
        <f>IF(I7=0,(J7/F7),I7)</f>
        <v>1</v>
      </c>
      <c r="L7" s="13">
        <f>H7*I7</f>
        <v>65</v>
      </c>
      <c r="N7" s="94"/>
      <c r="O7" s="2"/>
      <c r="P7" s="1" t="s">
        <v>33</v>
      </c>
      <c r="Q7" s="1">
        <v>1</v>
      </c>
      <c r="R7" s="1" t="s">
        <v>34</v>
      </c>
      <c r="S7" s="1">
        <v>50</v>
      </c>
      <c r="T7" s="1">
        <v>2</v>
      </c>
      <c r="U7" s="1">
        <f t="shared" si="0"/>
        <v>2</v>
      </c>
      <c r="V7" s="1">
        <f>S7*T7</f>
        <v>100</v>
      </c>
      <c r="X7" s="94"/>
      <c r="Y7" s="6"/>
      <c r="Z7" s="1" t="s">
        <v>26</v>
      </c>
      <c r="AA7" s="1">
        <v>1</v>
      </c>
      <c r="AB7" s="1" t="s">
        <v>35</v>
      </c>
      <c r="AC7" s="1">
        <v>52</v>
      </c>
      <c r="AD7" s="1">
        <v>1</v>
      </c>
      <c r="AE7" s="1">
        <f t="shared" si="1"/>
        <v>1</v>
      </c>
      <c r="AF7" s="1">
        <f>AC7*AD7</f>
        <v>52</v>
      </c>
    </row>
    <row r="8" spans="3:32" x14ac:dyDescent="0.2">
      <c r="C8" s="94"/>
      <c r="D8" s="2" t="s">
        <v>36</v>
      </c>
      <c r="E8" s="7" t="s">
        <v>37</v>
      </c>
      <c r="F8" s="1">
        <v>1</v>
      </c>
      <c r="G8" s="1" t="s">
        <v>29</v>
      </c>
      <c r="H8" s="13">
        <v>50</v>
      </c>
      <c r="I8" s="13">
        <v>2</v>
      </c>
      <c r="J8" s="13"/>
      <c r="K8" s="13">
        <f>IF(I8=0,(J8/F8),I8)</f>
        <v>2</v>
      </c>
      <c r="L8" s="13">
        <f t="shared" ref="L8:L43" si="2">H8*K8</f>
        <v>100</v>
      </c>
      <c r="N8" s="94"/>
      <c r="O8" s="2"/>
      <c r="P8" s="1" t="s">
        <v>38</v>
      </c>
      <c r="Q8" s="1">
        <v>1</v>
      </c>
      <c r="R8" s="1" t="s">
        <v>39</v>
      </c>
      <c r="S8" s="1"/>
      <c r="T8" s="1">
        <v>50</v>
      </c>
      <c r="U8" s="1">
        <f t="shared" si="0"/>
        <v>50</v>
      </c>
      <c r="V8" s="1">
        <f t="shared" ref="V8:V43" si="3">S8*U8</f>
        <v>0</v>
      </c>
      <c r="X8" s="94"/>
      <c r="Y8" s="6"/>
      <c r="Z8" s="1"/>
      <c r="AA8" s="1"/>
      <c r="AB8" s="1"/>
      <c r="AC8" s="1"/>
      <c r="AD8" s="1"/>
      <c r="AE8" s="1" t="e">
        <f t="shared" si="1"/>
        <v>#DIV/0!</v>
      </c>
      <c r="AF8" s="1" t="e">
        <f t="shared" ref="AF8:AF43" si="4">AC8*AE8</f>
        <v>#DIV/0!</v>
      </c>
    </row>
    <row r="9" spans="3:32" x14ac:dyDescent="0.2">
      <c r="C9" s="94"/>
      <c r="D9" s="2"/>
      <c r="E9" s="1" t="s">
        <v>40</v>
      </c>
      <c r="F9" s="1">
        <v>1</v>
      </c>
      <c r="G9" s="1" t="s">
        <v>41</v>
      </c>
      <c r="H9" s="13">
        <v>32</v>
      </c>
      <c r="I9" s="13">
        <v>1</v>
      </c>
      <c r="J9" s="13"/>
      <c r="K9" s="13">
        <f>IF(I9=0,(J9/F9),I9)</f>
        <v>1</v>
      </c>
      <c r="L9" s="13">
        <f t="shared" si="2"/>
        <v>32</v>
      </c>
      <c r="N9" s="94"/>
      <c r="O9" s="2"/>
      <c r="P9" s="1" t="s">
        <v>42</v>
      </c>
      <c r="Q9" s="1">
        <v>1</v>
      </c>
      <c r="R9" s="1" t="s">
        <v>43</v>
      </c>
      <c r="S9" s="1"/>
      <c r="T9" s="1">
        <v>1</v>
      </c>
      <c r="U9" s="1">
        <f t="shared" si="0"/>
        <v>1</v>
      </c>
      <c r="V9" s="1">
        <f t="shared" si="3"/>
        <v>0</v>
      </c>
      <c r="X9" s="94"/>
      <c r="Y9" s="2"/>
      <c r="Z9" s="1"/>
      <c r="AA9" s="1"/>
      <c r="AB9" s="1"/>
      <c r="AC9" s="1"/>
      <c r="AD9" s="1"/>
      <c r="AE9" s="1" t="e">
        <f t="shared" si="1"/>
        <v>#DIV/0!</v>
      </c>
      <c r="AF9" s="1" t="e">
        <f t="shared" si="4"/>
        <v>#DIV/0!</v>
      </c>
    </row>
    <row r="10" spans="3:32" x14ac:dyDescent="0.2">
      <c r="C10" s="94"/>
      <c r="D10" s="2"/>
      <c r="E10" s="1"/>
      <c r="F10" s="1"/>
      <c r="G10" s="1"/>
      <c r="H10" s="13"/>
      <c r="I10" s="13"/>
      <c r="J10" s="13"/>
      <c r="K10" s="13"/>
      <c r="L10" s="13"/>
      <c r="N10" s="94"/>
      <c r="O10" s="2"/>
      <c r="P10" s="1"/>
      <c r="Q10" s="1"/>
      <c r="R10" s="1"/>
      <c r="S10" s="1"/>
      <c r="T10" s="1"/>
      <c r="U10" s="1" t="e">
        <f t="shared" si="0"/>
        <v>#DIV/0!</v>
      </c>
      <c r="V10" s="1" t="e">
        <f t="shared" si="3"/>
        <v>#DIV/0!</v>
      </c>
      <c r="X10" s="94"/>
      <c r="Y10" s="2"/>
      <c r="Z10" s="1"/>
      <c r="AA10" s="1"/>
      <c r="AB10" s="1"/>
      <c r="AC10" s="1"/>
      <c r="AD10" s="1"/>
      <c r="AE10" s="1" t="e">
        <f t="shared" si="1"/>
        <v>#DIV/0!</v>
      </c>
      <c r="AF10" s="1" t="e">
        <f t="shared" si="4"/>
        <v>#DIV/0!</v>
      </c>
    </row>
    <row r="11" spans="3:32" x14ac:dyDescent="0.2">
      <c r="C11" s="94"/>
      <c r="D11" s="2"/>
      <c r="E11" s="1"/>
      <c r="F11" s="1"/>
      <c r="G11" s="1"/>
      <c r="H11" s="13"/>
      <c r="I11" s="13"/>
      <c r="J11" s="13"/>
      <c r="K11" s="13"/>
      <c r="L11" s="13"/>
      <c r="N11" s="94"/>
      <c r="O11" s="2"/>
      <c r="P11" s="1"/>
      <c r="Q11" s="1"/>
      <c r="R11" s="1"/>
      <c r="S11" s="1"/>
      <c r="T11" s="1"/>
      <c r="U11" s="1" t="e">
        <f t="shared" si="0"/>
        <v>#DIV/0!</v>
      </c>
      <c r="V11" s="1" t="e">
        <f t="shared" si="3"/>
        <v>#DIV/0!</v>
      </c>
      <c r="X11" s="94"/>
      <c r="Y11" s="2"/>
      <c r="Z11" s="1"/>
      <c r="AA11" s="1"/>
      <c r="AB11" s="1"/>
      <c r="AC11" s="1"/>
      <c r="AD11" s="1"/>
      <c r="AE11" s="1" t="e">
        <f t="shared" si="1"/>
        <v>#DIV/0!</v>
      </c>
      <c r="AF11" s="1" t="e">
        <f t="shared" si="4"/>
        <v>#DIV/0!</v>
      </c>
    </row>
    <row r="12" spans="3:32" x14ac:dyDescent="0.2">
      <c r="C12" s="94"/>
      <c r="D12" s="2"/>
      <c r="E12" s="1"/>
      <c r="F12" s="1"/>
      <c r="G12" s="1"/>
      <c r="H12" s="13"/>
      <c r="I12" s="13"/>
      <c r="J12" s="13"/>
      <c r="K12" s="13"/>
      <c r="L12" s="13"/>
      <c r="N12" s="94"/>
      <c r="O12" s="2"/>
      <c r="P12" s="1"/>
      <c r="Q12" s="1"/>
      <c r="R12" s="1"/>
      <c r="S12" s="1"/>
      <c r="T12" s="1"/>
      <c r="U12" s="1" t="e">
        <f t="shared" si="0"/>
        <v>#DIV/0!</v>
      </c>
      <c r="V12" s="1" t="e">
        <f t="shared" si="3"/>
        <v>#DIV/0!</v>
      </c>
      <c r="X12" s="94"/>
      <c r="Y12" s="2"/>
      <c r="Z12" s="1"/>
      <c r="AA12" s="1"/>
      <c r="AB12" s="1"/>
      <c r="AC12" s="1"/>
      <c r="AD12" s="1"/>
      <c r="AE12" s="1" t="e">
        <f t="shared" si="1"/>
        <v>#DIV/0!</v>
      </c>
      <c r="AF12" s="1" t="e">
        <f t="shared" si="4"/>
        <v>#DIV/0!</v>
      </c>
    </row>
    <row r="13" spans="3:32" x14ac:dyDescent="0.2">
      <c r="C13" s="90" t="s">
        <v>44</v>
      </c>
      <c r="D13" s="2"/>
      <c r="E13" s="1" t="s">
        <v>45</v>
      </c>
      <c r="F13" s="1">
        <v>1</v>
      </c>
      <c r="G13" s="1" t="s">
        <v>46</v>
      </c>
      <c r="H13" s="13">
        <v>80</v>
      </c>
      <c r="I13" s="13">
        <v>1</v>
      </c>
      <c r="J13" s="13"/>
      <c r="K13" s="13">
        <f t="shared" ref="K13:K34" si="5">IF(I13=0,(J13/F13),I13)</f>
        <v>1</v>
      </c>
      <c r="L13" s="13">
        <f t="shared" si="2"/>
        <v>80</v>
      </c>
      <c r="N13" s="93" t="s">
        <v>44</v>
      </c>
      <c r="O13" s="2"/>
      <c r="P13" s="1" t="s">
        <v>47</v>
      </c>
      <c r="Q13" s="1">
        <v>6</v>
      </c>
      <c r="R13" s="1" t="s">
        <v>48</v>
      </c>
      <c r="S13" s="1">
        <v>80</v>
      </c>
      <c r="T13" s="1">
        <v>1</v>
      </c>
      <c r="U13" s="1">
        <f t="shared" si="0"/>
        <v>0.16666666666666666</v>
      </c>
      <c r="V13" s="1">
        <f t="shared" si="3"/>
        <v>13.333333333333332</v>
      </c>
      <c r="X13" s="93" t="s">
        <v>44</v>
      </c>
      <c r="Y13" s="2"/>
      <c r="Z13" s="1" t="s">
        <v>21</v>
      </c>
      <c r="AA13" s="1">
        <v>1</v>
      </c>
      <c r="AB13" s="1" t="s">
        <v>22</v>
      </c>
      <c r="AC13" s="1"/>
      <c r="AD13" s="1">
        <v>1</v>
      </c>
      <c r="AE13" s="1">
        <f t="shared" si="1"/>
        <v>1</v>
      </c>
      <c r="AF13" s="1">
        <f t="shared" si="4"/>
        <v>0</v>
      </c>
    </row>
    <row r="14" spans="3:32" x14ac:dyDescent="0.2">
      <c r="C14" s="91"/>
      <c r="D14" s="2"/>
      <c r="E14" s="1" t="s">
        <v>49</v>
      </c>
      <c r="F14" s="11"/>
      <c r="G14" s="1" t="s">
        <v>12</v>
      </c>
      <c r="H14" s="14"/>
      <c r="I14" s="13">
        <v>4</v>
      </c>
      <c r="J14" s="13"/>
      <c r="K14" s="13">
        <f t="shared" si="5"/>
        <v>4</v>
      </c>
      <c r="L14" s="13">
        <f t="shared" si="2"/>
        <v>0</v>
      </c>
      <c r="N14" s="94"/>
      <c r="O14" s="2"/>
      <c r="P14" s="1" t="s">
        <v>50</v>
      </c>
      <c r="Q14" s="1">
        <v>1</v>
      </c>
      <c r="R14" s="1" t="s">
        <v>51</v>
      </c>
      <c r="S14" s="1">
        <v>130</v>
      </c>
      <c r="T14" s="1">
        <v>1</v>
      </c>
      <c r="U14" s="1">
        <f t="shared" si="0"/>
        <v>1</v>
      </c>
      <c r="V14" s="1">
        <f t="shared" si="3"/>
        <v>130</v>
      </c>
      <c r="X14" s="94"/>
      <c r="Y14" s="2"/>
      <c r="Z14" s="1" t="s">
        <v>52</v>
      </c>
      <c r="AA14" s="1">
        <v>1</v>
      </c>
      <c r="AB14" s="1" t="s">
        <v>53</v>
      </c>
      <c r="AC14" s="1">
        <v>83</v>
      </c>
      <c r="AD14" s="1">
        <v>2</v>
      </c>
      <c r="AE14" s="1">
        <f t="shared" si="1"/>
        <v>2</v>
      </c>
      <c r="AF14" s="1">
        <f t="shared" si="4"/>
        <v>166</v>
      </c>
    </row>
    <row r="15" spans="3:32" x14ac:dyDescent="0.2">
      <c r="C15" s="91"/>
      <c r="D15" s="2"/>
      <c r="E15" s="1" t="s">
        <v>54</v>
      </c>
      <c r="F15" s="1">
        <v>1</v>
      </c>
      <c r="G15" s="1" t="s">
        <v>55</v>
      </c>
      <c r="H15" s="13">
        <v>105</v>
      </c>
      <c r="I15" s="13">
        <v>5</v>
      </c>
      <c r="J15" s="13"/>
      <c r="K15" s="13">
        <f t="shared" si="5"/>
        <v>5</v>
      </c>
      <c r="L15" s="13">
        <f t="shared" si="2"/>
        <v>525</v>
      </c>
      <c r="N15" s="94"/>
      <c r="O15" s="2"/>
      <c r="P15" s="1" t="s">
        <v>33</v>
      </c>
      <c r="Q15" s="1">
        <v>1</v>
      </c>
      <c r="R15" s="1" t="s">
        <v>34</v>
      </c>
      <c r="S15" s="1">
        <v>50</v>
      </c>
      <c r="T15" s="1">
        <v>1</v>
      </c>
      <c r="U15" s="1">
        <f t="shared" si="0"/>
        <v>1</v>
      </c>
      <c r="V15" s="1">
        <f t="shared" si="3"/>
        <v>50</v>
      </c>
      <c r="X15" s="94"/>
      <c r="Y15" s="2"/>
      <c r="Z15" s="1" t="s">
        <v>50</v>
      </c>
      <c r="AA15" s="1">
        <v>1</v>
      </c>
      <c r="AB15" s="1" t="s">
        <v>56</v>
      </c>
      <c r="AC15" s="1">
        <v>130</v>
      </c>
      <c r="AD15" s="1">
        <v>1</v>
      </c>
      <c r="AE15" s="1">
        <f t="shared" si="1"/>
        <v>1</v>
      </c>
      <c r="AF15" s="1">
        <f t="shared" si="4"/>
        <v>130</v>
      </c>
    </row>
    <row r="16" spans="3:32" x14ac:dyDescent="0.2">
      <c r="C16" s="91"/>
      <c r="D16" s="2"/>
      <c r="E16" s="1" t="s">
        <v>57</v>
      </c>
      <c r="F16" s="1">
        <v>1</v>
      </c>
      <c r="G16" s="1" t="s">
        <v>58</v>
      </c>
      <c r="H16" s="13"/>
      <c r="I16" s="13">
        <v>2</v>
      </c>
      <c r="J16" s="13"/>
      <c r="K16" s="13">
        <f t="shared" si="5"/>
        <v>2</v>
      </c>
      <c r="L16" s="13">
        <f t="shared" si="2"/>
        <v>0</v>
      </c>
      <c r="M16" t="s">
        <v>59</v>
      </c>
      <c r="N16" s="94"/>
      <c r="O16" s="2"/>
      <c r="P16" s="1" t="s">
        <v>60</v>
      </c>
      <c r="Q16" s="1"/>
      <c r="R16" s="1" t="s">
        <v>61</v>
      </c>
      <c r="S16" s="1"/>
      <c r="T16" s="1">
        <v>1</v>
      </c>
      <c r="U16" s="1" t="e">
        <f t="shared" si="0"/>
        <v>#DIV/0!</v>
      </c>
      <c r="V16" s="1" t="e">
        <f t="shared" si="3"/>
        <v>#DIV/0!</v>
      </c>
      <c r="X16" s="94"/>
      <c r="Y16" s="2"/>
      <c r="Z16" s="1" t="s">
        <v>62</v>
      </c>
      <c r="AA16" s="1">
        <v>1</v>
      </c>
      <c r="AB16" s="1" t="s">
        <v>29</v>
      </c>
      <c r="AC16" s="1">
        <v>30</v>
      </c>
      <c r="AD16" s="1">
        <v>1</v>
      </c>
      <c r="AE16" s="1">
        <f t="shared" si="1"/>
        <v>1</v>
      </c>
      <c r="AF16" s="1">
        <f t="shared" si="4"/>
        <v>30</v>
      </c>
    </row>
    <row r="17" spans="3:33" x14ac:dyDescent="0.2">
      <c r="C17" s="91"/>
      <c r="D17" s="2"/>
      <c r="E17" s="1" t="s">
        <v>63</v>
      </c>
      <c r="F17" s="1">
        <f>1/8</f>
        <v>0.125</v>
      </c>
      <c r="G17" s="1" t="s">
        <v>53</v>
      </c>
      <c r="H17" s="13">
        <v>30</v>
      </c>
      <c r="I17" s="13">
        <v>1</v>
      </c>
      <c r="J17" s="13"/>
      <c r="K17" s="13">
        <f t="shared" si="5"/>
        <v>1</v>
      </c>
      <c r="L17" s="13">
        <f t="shared" si="2"/>
        <v>30</v>
      </c>
      <c r="N17" s="94"/>
      <c r="O17" s="2"/>
      <c r="P17" s="1" t="s">
        <v>64</v>
      </c>
      <c r="Q17" s="1">
        <v>1</v>
      </c>
      <c r="R17" s="1" t="s">
        <v>65</v>
      </c>
      <c r="S17" s="1">
        <v>75</v>
      </c>
      <c r="T17" s="1">
        <v>1</v>
      </c>
      <c r="U17" s="1">
        <f t="shared" si="0"/>
        <v>1</v>
      </c>
      <c r="V17" s="1">
        <f t="shared" si="3"/>
        <v>75</v>
      </c>
      <c r="X17" s="94"/>
      <c r="Y17" s="2"/>
      <c r="Z17" s="1" t="s">
        <v>57</v>
      </c>
      <c r="AA17" s="1">
        <v>1</v>
      </c>
      <c r="AB17" s="1" t="s">
        <v>66</v>
      </c>
      <c r="AC17" s="1"/>
      <c r="AD17" s="1">
        <v>1</v>
      </c>
      <c r="AE17" s="1">
        <f t="shared" si="1"/>
        <v>1</v>
      </c>
      <c r="AF17" s="1">
        <f t="shared" si="4"/>
        <v>0</v>
      </c>
      <c r="AG17" t="s">
        <v>59</v>
      </c>
    </row>
    <row r="18" spans="3:33" x14ac:dyDescent="0.2">
      <c r="C18" s="91"/>
      <c r="D18" s="2"/>
      <c r="E18" s="1" t="s">
        <v>67</v>
      </c>
      <c r="F18" s="1">
        <v>1</v>
      </c>
      <c r="G18" s="1" t="s">
        <v>34</v>
      </c>
      <c r="H18" s="13">
        <v>58</v>
      </c>
      <c r="I18" s="13">
        <v>3</v>
      </c>
      <c r="J18" s="13"/>
      <c r="K18" s="13">
        <f t="shared" si="5"/>
        <v>3</v>
      </c>
      <c r="L18" s="13">
        <f t="shared" si="2"/>
        <v>174</v>
      </c>
      <c r="N18" s="94"/>
      <c r="O18" s="2"/>
      <c r="P18" s="1" t="s">
        <v>68</v>
      </c>
      <c r="Q18" s="1">
        <v>1</v>
      </c>
      <c r="R18" s="1" t="s">
        <v>69</v>
      </c>
      <c r="S18" s="1"/>
      <c r="T18" s="1"/>
      <c r="U18" s="1">
        <f t="shared" si="0"/>
        <v>0</v>
      </c>
      <c r="V18" s="1">
        <f t="shared" si="3"/>
        <v>0</v>
      </c>
      <c r="X18" s="94"/>
      <c r="Y18" s="2"/>
      <c r="Z18" s="1" t="s">
        <v>70</v>
      </c>
      <c r="AA18" s="1">
        <v>1</v>
      </c>
      <c r="AB18" s="1" t="s">
        <v>71</v>
      </c>
      <c r="AC18" s="1">
        <v>132</v>
      </c>
      <c r="AD18" s="1">
        <v>1</v>
      </c>
      <c r="AE18" s="1">
        <f t="shared" si="1"/>
        <v>1</v>
      </c>
      <c r="AF18" s="1">
        <f t="shared" si="4"/>
        <v>132</v>
      </c>
    </row>
    <row r="19" spans="3:33" x14ac:dyDescent="0.2">
      <c r="C19" s="91"/>
      <c r="D19" s="2"/>
      <c r="E19" s="1" t="s">
        <v>72</v>
      </c>
      <c r="F19" s="11"/>
      <c r="G19" s="1" t="s">
        <v>73</v>
      </c>
      <c r="H19" s="14"/>
      <c r="I19" s="13">
        <v>1</v>
      </c>
      <c r="J19" s="13"/>
      <c r="K19" s="13">
        <f t="shared" si="5"/>
        <v>1</v>
      </c>
      <c r="L19" s="13">
        <f t="shared" si="2"/>
        <v>0</v>
      </c>
      <c r="N19" s="94"/>
      <c r="O19" s="2"/>
      <c r="P19" s="1" t="s">
        <v>63</v>
      </c>
      <c r="Q19" s="9">
        <v>1</v>
      </c>
      <c r="R19" s="1" t="s">
        <v>65</v>
      </c>
      <c r="S19" s="1">
        <v>30</v>
      </c>
      <c r="T19" s="1">
        <v>1</v>
      </c>
      <c r="U19" s="9">
        <f>+T19/Q19</f>
        <v>1</v>
      </c>
      <c r="V19" s="1">
        <f t="shared" si="3"/>
        <v>30</v>
      </c>
      <c r="X19" s="94"/>
      <c r="Y19" s="2"/>
      <c r="Z19" s="1" t="s">
        <v>67</v>
      </c>
      <c r="AA19" s="1">
        <v>1</v>
      </c>
      <c r="AB19" s="1" t="s">
        <v>29</v>
      </c>
      <c r="AC19" s="1">
        <v>58</v>
      </c>
      <c r="AD19" s="1">
        <v>0.5</v>
      </c>
      <c r="AE19" s="1">
        <f t="shared" si="1"/>
        <v>0.5</v>
      </c>
      <c r="AF19" s="1">
        <f t="shared" si="4"/>
        <v>29</v>
      </c>
    </row>
    <row r="20" spans="3:33" x14ac:dyDescent="0.2">
      <c r="C20" s="92"/>
      <c r="D20" s="2"/>
      <c r="E20" s="1"/>
      <c r="F20" s="1"/>
      <c r="G20" s="1"/>
      <c r="H20" s="13"/>
      <c r="I20" s="13"/>
      <c r="J20" s="13"/>
      <c r="K20" s="13" t="e">
        <f t="shared" si="5"/>
        <v>#DIV/0!</v>
      </c>
      <c r="L20" s="13" t="e">
        <f t="shared" si="2"/>
        <v>#DIV/0!</v>
      </c>
      <c r="N20" s="95"/>
      <c r="O20" s="2"/>
      <c r="P20" s="1"/>
      <c r="Q20" s="1"/>
      <c r="R20" s="1"/>
      <c r="S20" s="1"/>
      <c r="T20" s="1"/>
      <c r="U20" s="1" t="e">
        <f t="shared" si="0"/>
        <v>#DIV/0!</v>
      </c>
      <c r="V20" s="1" t="e">
        <f t="shared" si="3"/>
        <v>#DIV/0!</v>
      </c>
      <c r="X20" s="95"/>
      <c r="Y20" s="2"/>
      <c r="Z20" s="1" t="s">
        <v>64</v>
      </c>
      <c r="AA20" s="1">
        <v>1</v>
      </c>
      <c r="AB20" s="1" t="s">
        <v>29</v>
      </c>
      <c r="AC20" s="1">
        <v>80</v>
      </c>
      <c r="AD20" s="1">
        <v>1</v>
      </c>
      <c r="AE20" s="1">
        <f>+AD20/AA20</f>
        <v>1</v>
      </c>
      <c r="AF20" s="1">
        <f>AC20*AE20</f>
        <v>80</v>
      </c>
    </row>
    <row r="21" spans="3:33" x14ac:dyDescent="0.2">
      <c r="C21" s="90" t="s">
        <v>74</v>
      </c>
      <c r="D21" s="2"/>
      <c r="E21" s="1" t="s">
        <v>75</v>
      </c>
      <c r="F21" s="1">
        <v>1</v>
      </c>
      <c r="G21" s="1" t="s">
        <v>76</v>
      </c>
      <c r="H21" s="13">
        <v>300</v>
      </c>
      <c r="I21" s="13">
        <v>1</v>
      </c>
      <c r="J21" s="13"/>
      <c r="K21" s="13">
        <f t="shared" si="5"/>
        <v>1</v>
      </c>
      <c r="L21" s="13">
        <f t="shared" si="2"/>
        <v>300</v>
      </c>
      <c r="N21" s="93" t="s">
        <v>74</v>
      </c>
      <c r="O21" s="2"/>
      <c r="P21" s="1" t="s">
        <v>64</v>
      </c>
      <c r="Q21" s="1">
        <v>1</v>
      </c>
      <c r="R21" s="1" t="s">
        <v>77</v>
      </c>
      <c r="S21" s="1">
        <v>80</v>
      </c>
      <c r="T21" s="1">
        <v>1</v>
      </c>
      <c r="U21" s="1">
        <f t="shared" si="0"/>
        <v>1</v>
      </c>
      <c r="V21" s="1">
        <f t="shared" si="3"/>
        <v>80</v>
      </c>
      <c r="X21" s="90" t="s">
        <v>74</v>
      </c>
      <c r="Y21" s="2"/>
      <c r="Z21" s="1" t="s">
        <v>78</v>
      </c>
      <c r="AA21" s="1"/>
      <c r="AB21" s="1"/>
      <c r="AC21" s="1"/>
      <c r="AD21" s="1"/>
      <c r="AE21" s="1" t="e">
        <f t="shared" si="1"/>
        <v>#DIV/0!</v>
      </c>
      <c r="AF21" s="1" t="e">
        <f t="shared" si="4"/>
        <v>#DIV/0!</v>
      </c>
    </row>
    <row r="22" spans="3:33" x14ac:dyDescent="0.2">
      <c r="C22" s="91"/>
      <c r="D22" s="2"/>
      <c r="E22" s="1" t="s">
        <v>79</v>
      </c>
      <c r="F22" s="1">
        <v>1</v>
      </c>
      <c r="G22" s="1" t="s">
        <v>34</v>
      </c>
      <c r="H22" s="13">
        <v>89</v>
      </c>
      <c r="I22" s="13">
        <v>1</v>
      </c>
      <c r="J22" s="13"/>
      <c r="K22" s="13">
        <f t="shared" si="5"/>
        <v>1</v>
      </c>
      <c r="L22" s="13">
        <f t="shared" si="2"/>
        <v>89</v>
      </c>
      <c r="N22" s="94"/>
      <c r="O22" s="2"/>
      <c r="P22" s="1" t="s">
        <v>80</v>
      </c>
      <c r="Q22" s="1">
        <v>3</v>
      </c>
      <c r="R22" s="1" t="s">
        <v>12</v>
      </c>
      <c r="S22" s="1">
        <v>108</v>
      </c>
      <c r="T22" s="1">
        <v>1</v>
      </c>
      <c r="U22" s="1">
        <f t="shared" si="0"/>
        <v>0.33333333333333331</v>
      </c>
      <c r="V22" s="1">
        <f t="shared" si="3"/>
        <v>36</v>
      </c>
      <c r="X22" s="91"/>
      <c r="Y22" s="2"/>
      <c r="Z22" s="1" t="s">
        <v>81</v>
      </c>
      <c r="AA22" s="1">
        <v>1</v>
      </c>
      <c r="AB22" s="1" t="s">
        <v>29</v>
      </c>
      <c r="AC22" s="1">
        <v>100</v>
      </c>
      <c r="AD22" s="1">
        <v>1</v>
      </c>
      <c r="AE22" s="1">
        <f t="shared" si="1"/>
        <v>1</v>
      </c>
      <c r="AF22" s="1">
        <f t="shared" si="4"/>
        <v>100</v>
      </c>
    </row>
    <row r="23" spans="3:33" x14ac:dyDescent="0.2">
      <c r="C23" s="91"/>
      <c r="D23" s="2"/>
      <c r="E23" s="1" t="s">
        <v>40</v>
      </c>
      <c r="F23" s="1">
        <v>1</v>
      </c>
      <c r="G23" s="1" t="s">
        <v>41</v>
      </c>
      <c r="H23" s="13">
        <v>65</v>
      </c>
      <c r="I23" s="13">
        <v>1</v>
      </c>
      <c r="J23" s="13"/>
      <c r="K23" s="13">
        <f t="shared" si="5"/>
        <v>1</v>
      </c>
      <c r="L23" s="13">
        <f t="shared" si="2"/>
        <v>65</v>
      </c>
      <c r="N23" s="94"/>
      <c r="O23" s="2"/>
      <c r="P23" s="1" t="s">
        <v>60</v>
      </c>
      <c r="Q23" s="1"/>
      <c r="R23" s="1" t="s">
        <v>61</v>
      </c>
      <c r="S23" s="1"/>
      <c r="T23" s="1"/>
      <c r="U23" s="1" t="e">
        <f t="shared" si="0"/>
        <v>#DIV/0!</v>
      </c>
      <c r="V23" s="1" t="e">
        <f t="shared" si="3"/>
        <v>#DIV/0!</v>
      </c>
      <c r="X23" s="91"/>
      <c r="Y23" s="2"/>
      <c r="Z23" s="1" t="s">
        <v>67</v>
      </c>
      <c r="AA23" s="1">
        <v>1</v>
      </c>
      <c r="AB23" s="1" t="s">
        <v>29</v>
      </c>
      <c r="AC23" s="1">
        <v>58</v>
      </c>
      <c r="AD23" s="1">
        <v>0.5</v>
      </c>
      <c r="AE23" s="1">
        <f t="shared" si="1"/>
        <v>0.5</v>
      </c>
      <c r="AF23" s="1">
        <f t="shared" si="4"/>
        <v>29</v>
      </c>
    </row>
    <row r="24" spans="3:33" x14ac:dyDescent="0.2">
      <c r="C24" s="91"/>
      <c r="D24" s="2"/>
      <c r="E24" s="1" t="s">
        <v>82</v>
      </c>
      <c r="F24" s="1">
        <v>2</v>
      </c>
      <c r="G24" s="1" t="s">
        <v>34</v>
      </c>
      <c r="H24" s="13">
        <v>83</v>
      </c>
      <c r="I24" s="13">
        <v>2</v>
      </c>
      <c r="J24" s="13"/>
      <c r="K24" s="13">
        <f t="shared" si="5"/>
        <v>2</v>
      </c>
      <c r="L24" s="13">
        <f t="shared" si="2"/>
        <v>166</v>
      </c>
      <c r="N24" s="94"/>
      <c r="O24" s="2"/>
      <c r="P24" s="1" t="s">
        <v>83</v>
      </c>
      <c r="Q24" s="1">
        <v>1</v>
      </c>
      <c r="R24" s="1" t="s">
        <v>43</v>
      </c>
      <c r="S24" s="1"/>
      <c r="T24" s="1">
        <v>1</v>
      </c>
      <c r="U24" s="1">
        <f t="shared" si="0"/>
        <v>1</v>
      </c>
      <c r="V24" s="1">
        <f t="shared" si="3"/>
        <v>0</v>
      </c>
      <c r="X24" s="91"/>
      <c r="Y24" s="2"/>
      <c r="Z24" s="1" t="s">
        <v>84</v>
      </c>
      <c r="AA24" s="1">
        <v>1</v>
      </c>
      <c r="AB24" s="1" t="s">
        <v>56</v>
      </c>
      <c r="AC24" s="1"/>
      <c r="AD24" s="1"/>
      <c r="AE24" s="1">
        <f t="shared" si="1"/>
        <v>0</v>
      </c>
      <c r="AF24" s="1">
        <f t="shared" si="4"/>
        <v>0</v>
      </c>
    </row>
    <row r="25" spans="3:33" x14ac:dyDescent="0.2">
      <c r="C25" s="91"/>
      <c r="D25" s="2"/>
      <c r="E25" s="1" t="s">
        <v>85</v>
      </c>
      <c r="F25" s="1">
        <v>2</v>
      </c>
      <c r="G25" s="1" t="s">
        <v>86</v>
      </c>
      <c r="H25" s="13"/>
      <c r="I25" s="13">
        <v>2</v>
      </c>
      <c r="J25" s="13"/>
      <c r="K25" s="13">
        <f t="shared" si="5"/>
        <v>2</v>
      </c>
      <c r="L25" s="13">
        <f t="shared" si="2"/>
        <v>0</v>
      </c>
      <c r="N25" s="94"/>
      <c r="O25" s="2"/>
      <c r="P25" s="1"/>
      <c r="Q25" s="1"/>
      <c r="R25" s="1"/>
      <c r="S25" s="1"/>
      <c r="T25" s="1"/>
      <c r="U25" s="1" t="e">
        <f t="shared" si="0"/>
        <v>#DIV/0!</v>
      </c>
      <c r="V25" s="1" t="e">
        <f t="shared" si="3"/>
        <v>#DIV/0!</v>
      </c>
      <c r="X25" s="91"/>
      <c r="Y25" s="2"/>
      <c r="Z25" s="1" t="s">
        <v>87</v>
      </c>
      <c r="AA25" s="1">
        <v>1</v>
      </c>
      <c r="AB25" s="1" t="s">
        <v>88</v>
      </c>
      <c r="AC25" s="1">
        <v>66</v>
      </c>
      <c r="AD25" s="1">
        <v>2</v>
      </c>
      <c r="AE25" s="1">
        <f t="shared" si="1"/>
        <v>2</v>
      </c>
      <c r="AF25" s="1">
        <f t="shared" si="4"/>
        <v>132</v>
      </c>
    </row>
    <row r="26" spans="3:33" x14ac:dyDescent="0.2">
      <c r="C26" s="91"/>
      <c r="D26" s="2"/>
      <c r="E26" s="1" t="s">
        <v>89</v>
      </c>
      <c r="F26" s="1">
        <v>1</v>
      </c>
      <c r="G26" s="1" t="s">
        <v>90</v>
      </c>
      <c r="H26" s="13"/>
      <c r="I26" s="13">
        <v>1</v>
      </c>
      <c r="J26" s="13"/>
      <c r="K26" s="13">
        <f t="shared" si="5"/>
        <v>1</v>
      </c>
      <c r="L26" s="13">
        <f t="shared" si="2"/>
        <v>0</v>
      </c>
      <c r="N26" s="94"/>
      <c r="O26" s="2"/>
      <c r="P26" s="1"/>
      <c r="Q26" s="1"/>
      <c r="R26" s="1"/>
      <c r="S26" s="1"/>
      <c r="T26" s="1"/>
      <c r="U26" s="1" t="e">
        <f t="shared" si="0"/>
        <v>#DIV/0!</v>
      </c>
      <c r="V26" s="1" t="e">
        <f t="shared" si="3"/>
        <v>#DIV/0!</v>
      </c>
      <c r="X26" s="91"/>
      <c r="Y26" s="2"/>
      <c r="Z26" s="1" t="s">
        <v>91</v>
      </c>
      <c r="AA26" s="1">
        <v>1</v>
      </c>
      <c r="AB26" s="1" t="s">
        <v>29</v>
      </c>
      <c r="AC26" s="1"/>
      <c r="AD26" s="1">
        <v>0.5</v>
      </c>
      <c r="AE26" s="1">
        <f t="shared" si="1"/>
        <v>0.5</v>
      </c>
      <c r="AF26" s="1">
        <f t="shared" si="4"/>
        <v>0</v>
      </c>
    </row>
    <row r="27" spans="3:33" x14ac:dyDescent="0.2">
      <c r="C27" s="91"/>
      <c r="D27" s="2"/>
      <c r="E27" s="1" t="s">
        <v>92</v>
      </c>
      <c r="F27" s="1">
        <v>1</v>
      </c>
      <c r="G27" s="1" t="s">
        <v>34</v>
      </c>
      <c r="H27" s="13"/>
      <c r="I27" s="13">
        <v>1</v>
      </c>
      <c r="J27" s="13"/>
      <c r="K27" s="13">
        <f t="shared" si="5"/>
        <v>1</v>
      </c>
      <c r="L27" s="13">
        <f t="shared" si="2"/>
        <v>0</v>
      </c>
      <c r="N27" s="94"/>
      <c r="O27" s="2"/>
      <c r="P27" s="1"/>
      <c r="Q27" s="1"/>
      <c r="R27" s="1"/>
      <c r="S27" s="1"/>
      <c r="T27" s="1"/>
      <c r="U27" s="1" t="e">
        <f t="shared" si="0"/>
        <v>#DIV/0!</v>
      </c>
      <c r="V27" s="1" t="e">
        <f t="shared" si="3"/>
        <v>#DIV/0!</v>
      </c>
      <c r="X27" s="91"/>
      <c r="Y27" s="2"/>
      <c r="Z27" s="1" t="s">
        <v>93</v>
      </c>
      <c r="AA27" s="1">
        <v>1</v>
      </c>
      <c r="AB27" s="1" t="s">
        <v>94</v>
      </c>
      <c r="AC27" s="1"/>
      <c r="AD27" s="1">
        <v>1</v>
      </c>
      <c r="AE27" s="1">
        <f t="shared" si="1"/>
        <v>1</v>
      </c>
      <c r="AF27" s="1">
        <f t="shared" si="4"/>
        <v>0</v>
      </c>
    </row>
    <row r="28" spans="3:33" x14ac:dyDescent="0.2">
      <c r="C28" s="91"/>
      <c r="D28" s="2"/>
      <c r="E28" s="1" t="s">
        <v>95</v>
      </c>
      <c r="F28" s="1">
        <v>1</v>
      </c>
      <c r="G28" s="1" t="s">
        <v>96</v>
      </c>
      <c r="H28" s="13"/>
      <c r="I28" s="13">
        <v>1</v>
      </c>
      <c r="J28" s="13"/>
      <c r="K28" s="13">
        <f t="shared" si="5"/>
        <v>1</v>
      </c>
      <c r="L28" s="13">
        <f t="shared" si="2"/>
        <v>0</v>
      </c>
      <c r="N28" s="94"/>
      <c r="O28" s="2"/>
      <c r="P28" s="1"/>
      <c r="Q28" s="1"/>
      <c r="R28" s="1"/>
      <c r="S28" s="1"/>
      <c r="T28" s="1"/>
      <c r="U28" s="1" t="e">
        <f t="shared" si="0"/>
        <v>#DIV/0!</v>
      </c>
      <c r="V28" s="1" t="e">
        <f t="shared" si="3"/>
        <v>#DIV/0!</v>
      </c>
      <c r="X28" s="91"/>
      <c r="Y28" s="2"/>
      <c r="Z28" s="1"/>
      <c r="AA28" s="1"/>
      <c r="AB28" s="1"/>
      <c r="AC28" s="1"/>
      <c r="AD28" s="1"/>
      <c r="AE28" s="1" t="e">
        <f t="shared" si="1"/>
        <v>#DIV/0!</v>
      </c>
      <c r="AF28" s="1" t="e">
        <f t="shared" si="4"/>
        <v>#DIV/0!</v>
      </c>
    </row>
    <row r="29" spans="3:33" x14ac:dyDescent="0.2">
      <c r="C29" s="92"/>
      <c r="D29" s="2"/>
      <c r="E29" s="1"/>
      <c r="F29" s="1"/>
      <c r="G29" s="1"/>
      <c r="H29" s="13"/>
      <c r="I29" s="13"/>
      <c r="J29" s="13"/>
      <c r="K29" s="13" t="e">
        <f t="shared" si="5"/>
        <v>#DIV/0!</v>
      </c>
      <c r="L29" s="13" t="e">
        <f t="shared" si="2"/>
        <v>#DIV/0!</v>
      </c>
      <c r="N29" s="95"/>
      <c r="O29" s="2"/>
      <c r="P29" s="1"/>
      <c r="Q29" s="1"/>
      <c r="R29" s="1"/>
      <c r="S29" s="1"/>
      <c r="T29" s="1"/>
      <c r="U29" s="1" t="e">
        <f t="shared" si="0"/>
        <v>#DIV/0!</v>
      </c>
      <c r="V29" s="1" t="e">
        <f t="shared" si="3"/>
        <v>#DIV/0!</v>
      </c>
      <c r="X29" s="92"/>
      <c r="Y29" s="2"/>
      <c r="Z29" s="1"/>
      <c r="AA29" s="1"/>
      <c r="AB29" s="1"/>
      <c r="AC29" s="1"/>
      <c r="AD29" s="1"/>
      <c r="AE29" s="1" t="e">
        <f t="shared" si="1"/>
        <v>#DIV/0!</v>
      </c>
      <c r="AF29" s="1" t="e">
        <f t="shared" si="4"/>
        <v>#DIV/0!</v>
      </c>
    </row>
    <row r="30" spans="3:33" x14ac:dyDescent="0.2">
      <c r="C30" s="90" t="s">
        <v>97</v>
      </c>
      <c r="D30" s="2"/>
      <c r="E30" s="1" t="s">
        <v>98</v>
      </c>
      <c r="F30" s="1">
        <v>1</v>
      </c>
      <c r="G30" s="1" t="s">
        <v>34</v>
      </c>
      <c r="H30" s="13">
        <v>200</v>
      </c>
      <c r="I30" s="13">
        <v>1</v>
      </c>
      <c r="J30" s="13"/>
      <c r="K30" s="13">
        <f t="shared" si="5"/>
        <v>1</v>
      </c>
      <c r="L30" s="13">
        <f t="shared" si="2"/>
        <v>200</v>
      </c>
      <c r="N30" s="93" t="s">
        <v>99</v>
      </c>
      <c r="O30" s="2"/>
      <c r="P30" s="1" t="s">
        <v>100</v>
      </c>
      <c r="Q30" s="1">
        <v>0.5</v>
      </c>
      <c r="R30" s="1" t="s">
        <v>43</v>
      </c>
      <c r="S30" s="1"/>
      <c r="T30" s="1">
        <v>1</v>
      </c>
      <c r="U30" s="1">
        <f t="shared" si="0"/>
        <v>2</v>
      </c>
      <c r="V30" s="1">
        <f t="shared" si="3"/>
        <v>0</v>
      </c>
      <c r="X30" s="96" t="s">
        <v>101</v>
      </c>
      <c r="Y30" s="2"/>
      <c r="Z30" s="1" t="s">
        <v>102</v>
      </c>
      <c r="AA30" s="1">
        <v>1</v>
      </c>
      <c r="AB30" s="1" t="s">
        <v>103</v>
      </c>
      <c r="AC30" s="1"/>
      <c r="AD30" s="1"/>
      <c r="AE30" s="1">
        <f t="shared" si="1"/>
        <v>0</v>
      </c>
      <c r="AF30" s="1">
        <f t="shared" si="4"/>
        <v>0</v>
      </c>
    </row>
    <row r="31" spans="3:33" x14ac:dyDescent="0.2">
      <c r="C31" s="91"/>
      <c r="D31" s="2"/>
      <c r="E31" s="1" t="s">
        <v>104</v>
      </c>
      <c r="F31" s="1">
        <v>1</v>
      </c>
      <c r="G31" s="1" t="s">
        <v>46</v>
      </c>
      <c r="H31" s="13">
        <v>112</v>
      </c>
      <c r="I31" s="13">
        <v>1</v>
      </c>
      <c r="J31" s="13"/>
      <c r="K31" s="13">
        <f t="shared" si="5"/>
        <v>1</v>
      </c>
      <c r="L31" s="13">
        <f t="shared" si="2"/>
        <v>112</v>
      </c>
      <c r="N31" s="94"/>
      <c r="O31" s="2"/>
      <c r="P31" s="1" t="s">
        <v>105</v>
      </c>
      <c r="Q31" s="1">
        <v>4</v>
      </c>
      <c r="R31" s="1" t="s">
        <v>106</v>
      </c>
      <c r="S31" s="1"/>
      <c r="T31" s="1">
        <v>1</v>
      </c>
      <c r="U31" s="1">
        <f t="shared" si="0"/>
        <v>0.25</v>
      </c>
      <c r="V31" s="1">
        <f t="shared" si="3"/>
        <v>0</v>
      </c>
      <c r="X31" s="94"/>
      <c r="Y31" s="2"/>
      <c r="Z31" s="1" t="s">
        <v>107</v>
      </c>
      <c r="AA31" s="1">
        <v>1</v>
      </c>
      <c r="AB31" s="1" t="s">
        <v>103</v>
      </c>
      <c r="AC31" s="1"/>
      <c r="AD31" s="1"/>
      <c r="AE31" s="1">
        <f t="shared" si="1"/>
        <v>0</v>
      </c>
      <c r="AF31" s="1">
        <f t="shared" si="4"/>
        <v>0</v>
      </c>
    </row>
    <row r="32" spans="3:33" x14ac:dyDescent="0.2">
      <c r="C32" s="91"/>
      <c r="D32" s="2"/>
      <c r="E32" s="1" t="s">
        <v>108</v>
      </c>
      <c r="F32" s="1">
        <v>1</v>
      </c>
      <c r="G32" s="1" t="s">
        <v>109</v>
      </c>
      <c r="H32" s="13">
        <v>50</v>
      </c>
      <c r="I32" s="13">
        <v>1</v>
      </c>
      <c r="J32" s="13"/>
      <c r="K32" s="13">
        <f t="shared" si="5"/>
        <v>1</v>
      </c>
      <c r="L32" s="13">
        <f t="shared" si="2"/>
        <v>50</v>
      </c>
      <c r="N32" s="94"/>
      <c r="O32" s="2"/>
      <c r="P32" s="1" t="s">
        <v>110</v>
      </c>
      <c r="Q32" s="1">
        <v>1</v>
      </c>
      <c r="R32" s="1" t="s">
        <v>43</v>
      </c>
      <c r="S32" s="1"/>
      <c r="T32" s="1"/>
      <c r="U32" s="1">
        <f t="shared" si="0"/>
        <v>0</v>
      </c>
      <c r="V32" s="1">
        <f t="shared" si="3"/>
        <v>0</v>
      </c>
      <c r="X32" s="94"/>
      <c r="Y32" s="2"/>
      <c r="Z32" s="1" t="s">
        <v>111</v>
      </c>
      <c r="AA32" s="1">
        <v>1</v>
      </c>
      <c r="AB32" s="1" t="s">
        <v>103</v>
      </c>
      <c r="AC32" s="1"/>
      <c r="AD32" s="1"/>
      <c r="AE32" s="1">
        <f t="shared" si="1"/>
        <v>0</v>
      </c>
      <c r="AF32" s="1">
        <f t="shared" si="4"/>
        <v>0</v>
      </c>
    </row>
    <row r="33" spans="3:32" x14ac:dyDescent="0.2">
      <c r="C33" s="91"/>
      <c r="D33" s="2"/>
      <c r="E33" s="1" t="s">
        <v>112</v>
      </c>
      <c r="F33" s="1">
        <v>1</v>
      </c>
      <c r="G33" s="1" t="s">
        <v>113</v>
      </c>
      <c r="H33" s="13">
        <v>5</v>
      </c>
      <c r="I33" s="13">
        <v>2</v>
      </c>
      <c r="J33" s="13"/>
      <c r="K33" s="13">
        <f t="shared" si="5"/>
        <v>2</v>
      </c>
      <c r="L33" s="13">
        <f t="shared" si="2"/>
        <v>10</v>
      </c>
      <c r="N33" s="94"/>
      <c r="O33" s="2"/>
      <c r="P33" s="1"/>
      <c r="Q33" s="1"/>
      <c r="R33" s="1"/>
      <c r="S33" s="1"/>
      <c r="T33" s="1"/>
      <c r="U33" s="1" t="e">
        <f t="shared" si="0"/>
        <v>#DIV/0!</v>
      </c>
      <c r="V33" s="1" t="e">
        <f t="shared" si="3"/>
        <v>#DIV/0!</v>
      </c>
      <c r="X33" s="94"/>
      <c r="Y33" s="2"/>
      <c r="Z33" s="1" t="s">
        <v>114</v>
      </c>
      <c r="AA33" s="1">
        <v>1</v>
      </c>
      <c r="AB33" s="1" t="s">
        <v>29</v>
      </c>
      <c r="AC33" s="1"/>
      <c r="AD33" s="1"/>
      <c r="AE33" s="1">
        <f t="shared" si="1"/>
        <v>0</v>
      </c>
      <c r="AF33" s="1">
        <f t="shared" si="4"/>
        <v>0</v>
      </c>
    </row>
    <row r="34" spans="3:32" x14ac:dyDescent="0.2">
      <c r="C34" s="91"/>
      <c r="D34" s="2"/>
      <c r="E34" s="1" t="s">
        <v>115</v>
      </c>
      <c r="F34" s="1">
        <v>3</v>
      </c>
      <c r="G34" s="1" t="s">
        <v>116</v>
      </c>
      <c r="H34" s="13">
        <v>18</v>
      </c>
      <c r="I34" s="13">
        <v>1</v>
      </c>
      <c r="J34" s="13"/>
      <c r="K34" s="13">
        <f t="shared" si="5"/>
        <v>1</v>
      </c>
      <c r="L34" s="13">
        <f t="shared" si="2"/>
        <v>18</v>
      </c>
      <c r="N34" s="94"/>
      <c r="O34" s="2"/>
      <c r="P34" s="1"/>
      <c r="Q34" s="1"/>
      <c r="R34" s="1"/>
      <c r="S34" s="1"/>
      <c r="T34" s="1"/>
      <c r="U34" s="1" t="e">
        <f t="shared" si="0"/>
        <v>#DIV/0!</v>
      </c>
      <c r="V34" s="1" t="e">
        <f t="shared" si="3"/>
        <v>#DIV/0!</v>
      </c>
      <c r="X34" s="94"/>
      <c r="Y34" s="2"/>
      <c r="Z34" s="1" t="s">
        <v>117</v>
      </c>
      <c r="AA34" s="1">
        <v>1</v>
      </c>
      <c r="AB34" s="1" t="s">
        <v>118</v>
      </c>
      <c r="AC34" s="1">
        <v>110</v>
      </c>
      <c r="AD34" s="1">
        <v>1</v>
      </c>
      <c r="AE34" s="1">
        <f t="shared" si="1"/>
        <v>1</v>
      </c>
      <c r="AF34" s="1">
        <f t="shared" si="4"/>
        <v>110</v>
      </c>
    </row>
    <row r="35" spans="3:32" x14ac:dyDescent="0.2">
      <c r="C35" s="91"/>
      <c r="D35" s="2"/>
      <c r="E35" s="1"/>
      <c r="F35" s="1"/>
      <c r="G35" s="1"/>
      <c r="H35" s="13"/>
      <c r="I35" s="13"/>
      <c r="J35" s="13"/>
      <c r="K35" s="13" t="e">
        <f t="shared" ref="K35:K43" si="6">+I35/F35</f>
        <v>#DIV/0!</v>
      </c>
      <c r="L35" s="13" t="e">
        <f t="shared" si="2"/>
        <v>#DIV/0!</v>
      </c>
      <c r="N35" s="94"/>
      <c r="O35" s="2"/>
      <c r="P35" s="1"/>
      <c r="Q35" s="1"/>
      <c r="R35" s="1"/>
      <c r="S35" s="1"/>
      <c r="T35" s="1"/>
      <c r="U35" s="1" t="e">
        <f t="shared" si="0"/>
        <v>#DIV/0!</v>
      </c>
      <c r="V35" s="1" t="e">
        <f t="shared" si="3"/>
        <v>#DIV/0!</v>
      </c>
      <c r="X35" s="94"/>
      <c r="Y35" s="2"/>
      <c r="Z35" s="1" t="s">
        <v>119</v>
      </c>
      <c r="AA35" s="1">
        <v>1</v>
      </c>
      <c r="AB35" s="1" t="s">
        <v>71</v>
      </c>
      <c r="AC35" s="1">
        <v>112</v>
      </c>
      <c r="AD35" s="1">
        <v>1</v>
      </c>
      <c r="AE35" s="1">
        <f t="shared" si="1"/>
        <v>1</v>
      </c>
      <c r="AF35" s="1">
        <f t="shared" si="4"/>
        <v>112</v>
      </c>
    </row>
    <row r="36" spans="3:32" x14ac:dyDescent="0.2">
      <c r="C36" s="92"/>
      <c r="D36" s="2"/>
      <c r="E36" s="1"/>
      <c r="F36" s="1"/>
      <c r="G36" s="1"/>
      <c r="H36" s="13"/>
      <c r="I36" s="13"/>
      <c r="J36" s="13"/>
      <c r="K36" s="13" t="e">
        <f t="shared" si="6"/>
        <v>#DIV/0!</v>
      </c>
      <c r="L36" s="13" t="e">
        <f t="shared" si="2"/>
        <v>#DIV/0!</v>
      </c>
      <c r="N36" s="95"/>
      <c r="O36" s="2"/>
      <c r="P36" s="1"/>
      <c r="Q36" s="1"/>
      <c r="R36" s="1"/>
      <c r="S36" s="1"/>
      <c r="T36" s="1"/>
      <c r="U36" s="1" t="e">
        <f t="shared" si="0"/>
        <v>#DIV/0!</v>
      </c>
      <c r="V36" s="1" t="e">
        <f t="shared" si="3"/>
        <v>#DIV/0!</v>
      </c>
      <c r="X36" s="95"/>
      <c r="Y36" s="2"/>
      <c r="Z36" s="1" t="s">
        <v>120</v>
      </c>
      <c r="AA36" s="1">
        <v>9</v>
      </c>
      <c r="AB36" s="1" t="s">
        <v>20</v>
      </c>
      <c r="AC36" s="1">
        <v>161</v>
      </c>
      <c r="AD36" s="1">
        <v>6</v>
      </c>
      <c r="AE36" s="1">
        <f t="shared" si="1"/>
        <v>0.66666666666666663</v>
      </c>
      <c r="AF36" s="1">
        <f t="shared" si="4"/>
        <v>107.33333333333333</v>
      </c>
    </row>
    <row r="37" spans="3:32" x14ac:dyDescent="0.2">
      <c r="C37" s="89" t="s">
        <v>121</v>
      </c>
      <c r="D37" s="2"/>
      <c r="E37" s="1"/>
      <c r="F37" s="1"/>
      <c r="G37" s="1"/>
      <c r="H37" s="13"/>
      <c r="I37" s="13"/>
      <c r="J37" s="13"/>
      <c r="K37" s="13" t="e">
        <f t="shared" si="6"/>
        <v>#DIV/0!</v>
      </c>
      <c r="L37" s="13" t="e">
        <f t="shared" si="2"/>
        <v>#DIV/0!</v>
      </c>
      <c r="N37" s="89" t="s">
        <v>122</v>
      </c>
      <c r="O37" s="2"/>
      <c r="P37" s="1" t="s">
        <v>123</v>
      </c>
      <c r="Q37" s="1">
        <v>1</v>
      </c>
      <c r="R37" s="1" t="s">
        <v>124</v>
      </c>
      <c r="S37" s="1"/>
      <c r="T37" s="1">
        <v>1</v>
      </c>
      <c r="U37" s="1">
        <f t="shared" si="0"/>
        <v>1</v>
      </c>
      <c r="V37" s="1">
        <f t="shared" si="3"/>
        <v>0</v>
      </c>
      <c r="X37" s="89" t="s">
        <v>125</v>
      </c>
      <c r="Y37" s="2"/>
      <c r="Z37" s="1" t="s">
        <v>102</v>
      </c>
      <c r="AA37" s="1">
        <v>1</v>
      </c>
      <c r="AB37" s="1" t="s">
        <v>103</v>
      </c>
      <c r="AC37" s="1"/>
      <c r="AD37" s="1"/>
      <c r="AE37" s="1">
        <f t="shared" si="1"/>
        <v>0</v>
      </c>
      <c r="AF37" s="1">
        <f t="shared" si="4"/>
        <v>0</v>
      </c>
    </row>
    <row r="38" spans="3:32" x14ac:dyDescent="0.2">
      <c r="C38" s="89"/>
      <c r="D38" s="2"/>
      <c r="E38" s="1"/>
      <c r="F38" s="1"/>
      <c r="G38" s="1"/>
      <c r="H38" s="13"/>
      <c r="I38" s="13"/>
      <c r="J38" s="13"/>
      <c r="K38" s="13" t="e">
        <f t="shared" si="6"/>
        <v>#DIV/0!</v>
      </c>
      <c r="L38" s="13" t="e">
        <f t="shared" si="2"/>
        <v>#DIV/0!</v>
      </c>
      <c r="N38" s="89"/>
      <c r="O38" s="2"/>
      <c r="P38" s="1"/>
      <c r="Q38" s="1"/>
      <c r="R38" s="1"/>
      <c r="S38" s="1"/>
      <c r="T38" s="1"/>
      <c r="U38" s="1" t="e">
        <f t="shared" si="0"/>
        <v>#DIV/0!</v>
      </c>
      <c r="V38" s="1" t="e">
        <f t="shared" si="3"/>
        <v>#DIV/0!</v>
      </c>
      <c r="X38" s="89"/>
      <c r="Y38" s="2"/>
      <c r="Z38" s="1" t="s">
        <v>107</v>
      </c>
      <c r="AA38" s="1">
        <v>1</v>
      </c>
      <c r="AB38" s="1" t="s">
        <v>103</v>
      </c>
      <c r="AC38" s="1"/>
      <c r="AD38" s="1"/>
      <c r="AE38" s="1">
        <f t="shared" si="1"/>
        <v>0</v>
      </c>
      <c r="AF38" s="1">
        <f t="shared" si="4"/>
        <v>0</v>
      </c>
    </row>
    <row r="39" spans="3:32" x14ac:dyDescent="0.2">
      <c r="C39" s="89"/>
      <c r="D39" s="2"/>
      <c r="E39" s="1"/>
      <c r="F39" s="1"/>
      <c r="G39" s="1"/>
      <c r="H39" s="13"/>
      <c r="I39" s="13"/>
      <c r="J39" s="13"/>
      <c r="K39" s="13" t="e">
        <f t="shared" si="6"/>
        <v>#DIV/0!</v>
      </c>
      <c r="L39" s="13" t="e">
        <f t="shared" si="2"/>
        <v>#DIV/0!</v>
      </c>
      <c r="N39" s="89"/>
      <c r="O39" s="2"/>
      <c r="P39" s="1"/>
      <c r="Q39" s="1"/>
      <c r="R39" s="1"/>
      <c r="S39" s="1"/>
      <c r="T39" s="1"/>
      <c r="U39" s="1" t="e">
        <f t="shared" si="0"/>
        <v>#DIV/0!</v>
      </c>
      <c r="V39" s="1" t="e">
        <f t="shared" si="3"/>
        <v>#DIV/0!</v>
      </c>
      <c r="X39" s="89"/>
      <c r="Y39" s="2"/>
      <c r="Z39" s="1" t="s">
        <v>111</v>
      </c>
      <c r="AA39" s="1">
        <v>1</v>
      </c>
      <c r="AB39" s="1" t="s">
        <v>103</v>
      </c>
      <c r="AC39" s="1"/>
      <c r="AD39" s="1"/>
      <c r="AE39" s="1">
        <f t="shared" si="1"/>
        <v>0</v>
      </c>
      <c r="AF39" s="1">
        <f t="shared" si="4"/>
        <v>0</v>
      </c>
    </row>
    <row r="40" spans="3:32" x14ac:dyDescent="0.2">
      <c r="C40" s="89"/>
      <c r="D40" s="2"/>
      <c r="E40" s="1"/>
      <c r="F40" s="1"/>
      <c r="G40" s="1"/>
      <c r="H40" s="13"/>
      <c r="I40" s="13"/>
      <c r="J40" s="13"/>
      <c r="K40" s="13" t="e">
        <f t="shared" si="6"/>
        <v>#DIV/0!</v>
      </c>
      <c r="L40" s="13" t="e">
        <f t="shared" si="2"/>
        <v>#DIV/0!</v>
      </c>
      <c r="N40" s="89"/>
      <c r="O40" s="2"/>
      <c r="P40" s="1"/>
      <c r="Q40" s="1"/>
      <c r="R40" s="1"/>
      <c r="S40" s="1"/>
      <c r="T40" s="1"/>
      <c r="U40" s="1" t="e">
        <f t="shared" si="0"/>
        <v>#DIV/0!</v>
      </c>
      <c r="V40" s="1" t="e">
        <f t="shared" si="3"/>
        <v>#DIV/0!</v>
      </c>
      <c r="X40" s="89"/>
      <c r="Y40" s="2"/>
      <c r="Z40" s="1" t="s">
        <v>114</v>
      </c>
      <c r="AA40" s="1">
        <v>1</v>
      </c>
      <c r="AB40" s="1" t="s">
        <v>29</v>
      </c>
      <c r="AC40" s="1"/>
      <c r="AD40" s="1"/>
      <c r="AE40" s="1">
        <f t="shared" si="1"/>
        <v>0</v>
      </c>
      <c r="AF40" s="1">
        <f t="shared" si="4"/>
        <v>0</v>
      </c>
    </row>
    <row r="41" spans="3:32" x14ac:dyDescent="0.2">
      <c r="C41" s="89"/>
      <c r="D41" s="2"/>
      <c r="E41" s="1"/>
      <c r="F41" s="1"/>
      <c r="G41" s="1"/>
      <c r="H41" s="13"/>
      <c r="I41" s="13"/>
      <c r="J41" s="13"/>
      <c r="K41" s="13" t="e">
        <f t="shared" si="6"/>
        <v>#DIV/0!</v>
      </c>
      <c r="L41" s="13" t="e">
        <f t="shared" si="2"/>
        <v>#DIV/0!</v>
      </c>
      <c r="N41" s="89"/>
      <c r="O41" s="2"/>
      <c r="P41" s="1"/>
      <c r="Q41" s="1"/>
      <c r="R41" s="1"/>
      <c r="S41" s="1"/>
      <c r="T41" s="1"/>
      <c r="U41" s="1" t="e">
        <f t="shared" si="0"/>
        <v>#DIV/0!</v>
      </c>
      <c r="V41" s="1" t="e">
        <f t="shared" si="3"/>
        <v>#DIV/0!</v>
      </c>
      <c r="X41" s="89"/>
      <c r="Y41" s="2"/>
      <c r="Z41" s="1" t="s">
        <v>117</v>
      </c>
      <c r="AA41" s="1">
        <v>1</v>
      </c>
      <c r="AB41" s="1" t="s">
        <v>118</v>
      </c>
      <c r="AC41" s="1">
        <v>110</v>
      </c>
      <c r="AD41" s="1">
        <v>1</v>
      </c>
      <c r="AE41" s="1">
        <f t="shared" si="1"/>
        <v>1</v>
      </c>
      <c r="AF41" s="1">
        <f t="shared" si="4"/>
        <v>110</v>
      </c>
    </row>
    <row r="42" spans="3:32" x14ac:dyDescent="0.2">
      <c r="C42" s="89"/>
      <c r="D42" s="2"/>
      <c r="E42" s="1"/>
      <c r="F42" s="1"/>
      <c r="G42" s="1"/>
      <c r="H42" s="13"/>
      <c r="I42" s="13"/>
      <c r="J42" s="13"/>
      <c r="K42" s="13" t="e">
        <f t="shared" si="6"/>
        <v>#DIV/0!</v>
      </c>
      <c r="L42" s="13" t="e">
        <f t="shared" si="2"/>
        <v>#DIV/0!</v>
      </c>
      <c r="N42" s="89"/>
      <c r="O42" s="2"/>
      <c r="P42" s="1"/>
      <c r="Q42" s="1"/>
      <c r="R42" s="1"/>
      <c r="S42" s="1"/>
      <c r="T42" s="1"/>
      <c r="U42" s="1" t="e">
        <f t="shared" si="0"/>
        <v>#DIV/0!</v>
      </c>
      <c r="V42" s="1" t="e">
        <f t="shared" si="3"/>
        <v>#DIV/0!</v>
      </c>
      <c r="X42" s="89"/>
      <c r="Y42" s="2"/>
      <c r="Z42" s="1" t="s">
        <v>119</v>
      </c>
      <c r="AA42" s="1">
        <v>1</v>
      </c>
      <c r="AB42" s="1" t="s">
        <v>71</v>
      </c>
      <c r="AC42" s="1">
        <v>112</v>
      </c>
      <c r="AD42" s="1">
        <v>1</v>
      </c>
      <c r="AE42" s="1">
        <f t="shared" si="1"/>
        <v>1</v>
      </c>
      <c r="AF42" s="1">
        <f t="shared" si="4"/>
        <v>112</v>
      </c>
    </row>
    <row r="43" spans="3:32" x14ac:dyDescent="0.2">
      <c r="C43" s="89"/>
      <c r="D43" s="2"/>
      <c r="E43" s="1"/>
      <c r="F43" s="1"/>
      <c r="G43" s="1"/>
      <c r="H43" s="13"/>
      <c r="I43" s="13"/>
      <c r="J43" s="13"/>
      <c r="K43" s="13" t="e">
        <f t="shared" si="6"/>
        <v>#DIV/0!</v>
      </c>
      <c r="L43" s="13" t="e">
        <f t="shared" si="2"/>
        <v>#DIV/0!</v>
      </c>
      <c r="N43" s="89"/>
      <c r="O43" s="2"/>
      <c r="P43" s="1"/>
      <c r="Q43" s="1"/>
      <c r="R43" s="1"/>
      <c r="S43" s="1"/>
      <c r="T43" s="1"/>
      <c r="U43" s="1" t="e">
        <f t="shared" si="0"/>
        <v>#DIV/0!</v>
      </c>
      <c r="V43" s="1" t="e">
        <f t="shared" si="3"/>
        <v>#DIV/0!</v>
      </c>
      <c r="X43" s="89"/>
      <c r="Y43" s="2"/>
      <c r="Z43" s="1" t="s">
        <v>120</v>
      </c>
      <c r="AA43" s="1">
        <v>9</v>
      </c>
      <c r="AB43" s="1" t="s">
        <v>20</v>
      </c>
      <c r="AC43" s="1">
        <v>161</v>
      </c>
      <c r="AD43" s="1">
        <v>6</v>
      </c>
      <c r="AE43" s="1">
        <f t="shared" si="1"/>
        <v>0.66666666666666663</v>
      </c>
      <c r="AF43" s="1">
        <f t="shared" si="4"/>
        <v>107.33333333333333</v>
      </c>
    </row>
  </sheetData>
  <mergeCells count="21">
    <mergeCell ref="AC2:AF3"/>
    <mergeCell ref="C2:F3"/>
    <mergeCell ref="H2:L3"/>
    <mergeCell ref="N2:Q3"/>
    <mergeCell ref="S2:V3"/>
    <mergeCell ref="X2:AA3"/>
    <mergeCell ref="C5:C12"/>
    <mergeCell ref="N5:N12"/>
    <mergeCell ref="X5:X12"/>
    <mergeCell ref="C13:C20"/>
    <mergeCell ref="N13:N20"/>
    <mergeCell ref="X13:X20"/>
    <mergeCell ref="C37:C43"/>
    <mergeCell ref="N37:N43"/>
    <mergeCell ref="X37:X43"/>
    <mergeCell ref="C21:C29"/>
    <mergeCell ref="N21:N29"/>
    <mergeCell ref="X21:X29"/>
    <mergeCell ref="C30:C36"/>
    <mergeCell ref="N30:N36"/>
    <mergeCell ref="X30:X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E7FEF-2B41-4957-A90B-CB7A6809CCFF}">
  <dimension ref="A1:B26"/>
  <sheetViews>
    <sheetView workbookViewId="0">
      <selection activeCell="C9" sqref="C9"/>
    </sheetView>
  </sheetViews>
  <sheetFormatPr baseColWidth="10" defaultColWidth="8.83203125" defaultRowHeight="16" x14ac:dyDescent="0.2"/>
  <cols>
    <col min="1" max="1" width="28.6640625" bestFit="1" customWidth="1"/>
    <col min="2" max="2" width="70.5" customWidth="1"/>
  </cols>
  <sheetData>
    <row r="1" spans="1:2" x14ac:dyDescent="0.2">
      <c r="A1" s="105" t="s">
        <v>126</v>
      </c>
      <c r="B1" s="106"/>
    </row>
    <row r="2" spans="1:2" x14ac:dyDescent="0.2">
      <c r="A2" s="45" t="s">
        <v>127</v>
      </c>
      <c r="B2" s="46" t="s">
        <v>128</v>
      </c>
    </row>
    <row r="3" spans="1:2" x14ac:dyDescent="0.2">
      <c r="A3" s="107" t="s">
        <v>129</v>
      </c>
      <c r="B3" s="108"/>
    </row>
    <row r="4" spans="1:2" ht="131.25" customHeight="1" x14ac:dyDescent="0.2">
      <c r="A4" s="47" t="s">
        <v>130</v>
      </c>
      <c r="B4" s="48" t="s">
        <v>131</v>
      </c>
    </row>
    <row r="5" spans="1:2" x14ac:dyDescent="0.2">
      <c r="A5" s="47" t="s">
        <v>132</v>
      </c>
      <c r="B5" s="49" t="s">
        <v>133</v>
      </c>
    </row>
    <row r="6" spans="1:2" x14ac:dyDescent="0.2">
      <c r="A6" s="47" t="s">
        <v>6</v>
      </c>
      <c r="B6" s="49" t="s">
        <v>134</v>
      </c>
    </row>
    <row r="7" spans="1:2" x14ac:dyDescent="0.2">
      <c r="A7" s="47" t="s">
        <v>135</v>
      </c>
      <c r="B7" s="49" t="s">
        <v>136</v>
      </c>
    </row>
    <row r="8" spans="1:2" x14ac:dyDescent="0.2">
      <c r="A8" s="47" t="s">
        <v>137</v>
      </c>
      <c r="B8" s="49" t="s">
        <v>136</v>
      </c>
    </row>
    <row r="9" spans="1:2" x14ac:dyDescent="0.2">
      <c r="A9" s="47" t="s">
        <v>138</v>
      </c>
      <c r="B9" s="49" t="s">
        <v>136</v>
      </c>
    </row>
    <row r="10" spans="1:2" ht="68" hidden="1" x14ac:dyDescent="0.2">
      <c r="A10" s="47" t="s">
        <v>139</v>
      </c>
      <c r="B10" s="48" t="s">
        <v>140</v>
      </c>
    </row>
    <row r="11" spans="1:2" ht="67.5" customHeight="1" x14ac:dyDescent="0.2">
      <c r="A11" s="47" t="s">
        <v>141</v>
      </c>
      <c r="B11" s="49" t="s">
        <v>136</v>
      </c>
    </row>
    <row r="12" spans="1:2" x14ac:dyDescent="0.2">
      <c r="A12" s="47" t="s">
        <v>142</v>
      </c>
      <c r="B12" s="49" t="s">
        <v>136</v>
      </c>
    </row>
    <row r="13" spans="1:2" x14ac:dyDescent="0.2">
      <c r="A13" s="109" t="s">
        <v>143</v>
      </c>
      <c r="B13" s="110"/>
    </row>
    <row r="14" spans="1:2" x14ac:dyDescent="0.2">
      <c r="A14" s="47" t="s">
        <v>144</v>
      </c>
      <c r="B14" s="49" t="s">
        <v>145</v>
      </c>
    </row>
    <row r="15" spans="1:2" x14ac:dyDescent="0.2">
      <c r="A15" s="47" t="s">
        <v>6</v>
      </c>
      <c r="B15" s="49" t="s">
        <v>146</v>
      </c>
    </row>
    <row r="16" spans="1:2" x14ac:dyDescent="0.2">
      <c r="A16" s="47" t="s">
        <v>7</v>
      </c>
      <c r="B16" s="49" t="s">
        <v>136</v>
      </c>
    </row>
    <row r="17" spans="1:2" x14ac:dyDescent="0.2">
      <c r="A17" s="47" t="s">
        <v>8</v>
      </c>
      <c r="B17" s="49" t="s">
        <v>147</v>
      </c>
    </row>
    <row r="18" spans="1:2" x14ac:dyDescent="0.2">
      <c r="A18" s="47" t="s">
        <v>9</v>
      </c>
      <c r="B18" s="49" t="s">
        <v>148</v>
      </c>
    </row>
    <row r="19" spans="1:2" x14ac:dyDescent="0.2">
      <c r="A19" s="47" t="s">
        <v>10</v>
      </c>
      <c r="B19" s="49" t="s">
        <v>149</v>
      </c>
    </row>
    <row r="20" spans="1:2" x14ac:dyDescent="0.2">
      <c r="A20" s="47" t="s">
        <v>11</v>
      </c>
      <c r="B20" s="49" t="s">
        <v>150</v>
      </c>
    </row>
    <row r="21" spans="1:2" x14ac:dyDescent="0.2">
      <c r="A21" s="47" t="s">
        <v>12</v>
      </c>
      <c r="B21" s="49" t="s">
        <v>151</v>
      </c>
    </row>
    <row r="22" spans="1:2" x14ac:dyDescent="0.2">
      <c r="A22" s="47" t="s">
        <v>13</v>
      </c>
      <c r="B22" s="49" t="s">
        <v>136</v>
      </c>
    </row>
    <row r="23" spans="1:2" x14ac:dyDescent="0.2">
      <c r="A23" s="47" t="s">
        <v>14</v>
      </c>
      <c r="B23" s="49" t="s">
        <v>152</v>
      </c>
    </row>
    <row r="24" spans="1:2" x14ac:dyDescent="0.2">
      <c r="A24" s="47" t="s">
        <v>153</v>
      </c>
      <c r="B24" s="49" t="s">
        <v>136</v>
      </c>
    </row>
    <row r="25" spans="1:2" x14ac:dyDescent="0.2">
      <c r="A25" s="107" t="s">
        <v>154</v>
      </c>
      <c r="B25" s="108"/>
    </row>
    <row r="26" spans="1:2" ht="34" x14ac:dyDescent="0.2">
      <c r="A26" s="47" t="s">
        <v>155</v>
      </c>
      <c r="B26" s="48" t="s">
        <v>156</v>
      </c>
    </row>
  </sheetData>
  <mergeCells count="4">
    <mergeCell ref="A1:B1"/>
    <mergeCell ref="A3:B3"/>
    <mergeCell ref="A13:B13"/>
    <mergeCell ref="A25:B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55124-7E9B-4004-86F2-18D3829F6A9A}">
  <dimension ref="A1:L44"/>
  <sheetViews>
    <sheetView workbookViewId="0">
      <selection activeCell="A12" sqref="A12:XFD15"/>
    </sheetView>
  </sheetViews>
  <sheetFormatPr baseColWidth="10" defaultColWidth="8.83203125" defaultRowHeight="16" x14ac:dyDescent="0.2"/>
  <cols>
    <col min="6" max="6" width="6.83203125" bestFit="1" customWidth="1"/>
    <col min="7" max="7" width="16.83203125" bestFit="1" customWidth="1"/>
    <col min="9" max="9" width="20.1640625" bestFit="1" customWidth="1"/>
    <col min="10" max="10" width="10.5" customWidth="1"/>
  </cols>
  <sheetData>
    <row r="1" spans="1:12" x14ac:dyDescent="0.2">
      <c r="A1" s="36" t="s">
        <v>130</v>
      </c>
      <c r="B1" s="37" t="s">
        <v>132</v>
      </c>
      <c r="C1" s="37" t="s">
        <v>6</v>
      </c>
      <c r="D1" s="37" t="s">
        <v>135</v>
      </c>
      <c r="E1" s="37" t="s">
        <v>137</v>
      </c>
      <c r="F1" s="37" t="s">
        <v>138</v>
      </c>
      <c r="G1" s="37" t="s">
        <v>157</v>
      </c>
      <c r="H1" s="37" t="s">
        <v>139</v>
      </c>
      <c r="I1" s="41" t="s">
        <v>141</v>
      </c>
      <c r="J1" s="41" t="s">
        <v>142</v>
      </c>
      <c r="K1" s="34"/>
    </row>
    <row r="2" spans="1:12" x14ac:dyDescent="0.2">
      <c r="A2" s="38">
        <v>1</v>
      </c>
      <c r="B2" s="39" t="s">
        <v>158</v>
      </c>
      <c r="C2" s="39" t="s">
        <v>159</v>
      </c>
      <c r="D2" s="39">
        <v>21</v>
      </c>
      <c r="E2" s="39">
        <v>1</v>
      </c>
      <c r="F2" s="39">
        <v>4</v>
      </c>
      <c r="G2" s="42" t="s">
        <v>160</v>
      </c>
      <c r="H2" s="39">
        <v>2</v>
      </c>
      <c r="I2" s="42" t="s">
        <v>161</v>
      </c>
      <c r="J2" s="42" t="s">
        <v>162</v>
      </c>
      <c r="K2" s="34"/>
    </row>
    <row r="3" spans="1:12" x14ac:dyDescent="0.2">
      <c r="A3" s="38">
        <v>1</v>
      </c>
      <c r="B3" s="39" t="s">
        <v>158</v>
      </c>
      <c r="C3" s="39" t="s">
        <v>159</v>
      </c>
      <c r="D3" s="39">
        <v>24</v>
      </c>
      <c r="E3" s="39">
        <v>1</v>
      </c>
      <c r="F3" s="39">
        <v>5</v>
      </c>
      <c r="G3" s="42" t="s">
        <v>160</v>
      </c>
      <c r="H3" s="39">
        <v>2</v>
      </c>
      <c r="I3" s="42" t="s">
        <v>161</v>
      </c>
      <c r="J3" s="42" t="s">
        <v>162</v>
      </c>
      <c r="K3" s="34"/>
      <c r="L3" s="35"/>
    </row>
    <row r="4" spans="1:12" x14ac:dyDescent="0.2">
      <c r="A4" s="38">
        <v>1</v>
      </c>
      <c r="B4" s="39" t="s">
        <v>158</v>
      </c>
      <c r="C4" s="39" t="s">
        <v>159</v>
      </c>
      <c r="D4" s="39">
        <v>27</v>
      </c>
      <c r="E4" s="39">
        <v>1</v>
      </c>
      <c r="F4" s="39">
        <v>4</v>
      </c>
      <c r="G4" s="42" t="s">
        <v>163</v>
      </c>
      <c r="H4" s="39">
        <v>2</v>
      </c>
      <c r="I4" s="42" t="s">
        <v>161</v>
      </c>
      <c r="J4" s="42" t="s">
        <v>162</v>
      </c>
      <c r="K4" s="34"/>
      <c r="L4" s="34"/>
    </row>
    <row r="5" spans="1:12" x14ac:dyDescent="0.2">
      <c r="A5" s="38">
        <v>1</v>
      </c>
      <c r="B5" s="39" t="s">
        <v>158</v>
      </c>
      <c r="C5" s="39" t="s">
        <v>159</v>
      </c>
      <c r="D5" s="39">
        <v>30</v>
      </c>
      <c r="E5" s="39">
        <v>0</v>
      </c>
      <c r="F5" s="39">
        <v>4</v>
      </c>
      <c r="G5" s="42" t="s">
        <v>164</v>
      </c>
      <c r="H5" s="39">
        <v>3</v>
      </c>
      <c r="I5" s="42" t="s">
        <v>165</v>
      </c>
      <c r="J5" s="42" t="s">
        <v>162</v>
      </c>
      <c r="K5" s="34"/>
      <c r="L5" s="34"/>
    </row>
    <row r="6" spans="1:12" x14ac:dyDescent="0.2">
      <c r="A6" s="38">
        <v>1</v>
      </c>
      <c r="B6" s="39" t="s">
        <v>158</v>
      </c>
      <c r="C6" s="39" t="s">
        <v>159</v>
      </c>
      <c r="D6" s="39">
        <v>30</v>
      </c>
      <c r="E6" s="39">
        <v>0</v>
      </c>
      <c r="F6" s="39">
        <v>3</v>
      </c>
      <c r="G6" s="42" t="s">
        <v>160</v>
      </c>
      <c r="H6" s="39">
        <v>2</v>
      </c>
      <c r="I6" s="42" t="s">
        <v>166</v>
      </c>
      <c r="J6" s="42" t="s">
        <v>162</v>
      </c>
      <c r="K6" s="34"/>
      <c r="L6" s="34"/>
    </row>
    <row r="7" spans="1:12" x14ac:dyDescent="0.2">
      <c r="A7" s="38">
        <v>2</v>
      </c>
      <c r="B7" s="39" t="s">
        <v>158</v>
      </c>
      <c r="C7" s="39" t="s">
        <v>167</v>
      </c>
      <c r="D7" s="39">
        <v>37</v>
      </c>
      <c r="E7" s="39">
        <v>1</v>
      </c>
      <c r="F7" s="39">
        <v>3</v>
      </c>
      <c r="G7" s="42" t="s">
        <v>168</v>
      </c>
      <c r="H7" s="39">
        <v>2</v>
      </c>
      <c r="I7" s="42" t="s">
        <v>169</v>
      </c>
      <c r="J7" s="42" t="s">
        <v>170</v>
      </c>
      <c r="K7" s="34"/>
      <c r="L7" s="34"/>
    </row>
    <row r="8" spans="1:12" x14ac:dyDescent="0.2">
      <c r="A8" s="38">
        <v>2</v>
      </c>
      <c r="B8" s="39" t="s">
        <v>158</v>
      </c>
      <c r="C8" s="39" t="s">
        <v>167</v>
      </c>
      <c r="D8" s="39">
        <v>38</v>
      </c>
      <c r="E8" s="39">
        <v>1</v>
      </c>
      <c r="F8" s="39">
        <v>2</v>
      </c>
      <c r="G8" s="42" t="s">
        <v>163</v>
      </c>
      <c r="H8" s="39">
        <v>2</v>
      </c>
      <c r="I8" s="42" t="s">
        <v>171</v>
      </c>
      <c r="J8" s="42" t="s">
        <v>162</v>
      </c>
      <c r="K8" s="34"/>
      <c r="L8" s="34"/>
    </row>
    <row r="9" spans="1:12" x14ac:dyDescent="0.2">
      <c r="A9" s="38">
        <v>2</v>
      </c>
      <c r="B9" s="39" t="s">
        <v>158</v>
      </c>
      <c r="C9" s="39" t="s">
        <v>167</v>
      </c>
      <c r="D9" s="39">
        <v>40</v>
      </c>
      <c r="E9" s="39">
        <v>1</v>
      </c>
      <c r="F9" s="39">
        <v>2</v>
      </c>
      <c r="G9" s="42" t="s">
        <v>163</v>
      </c>
      <c r="H9" s="39">
        <v>2</v>
      </c>
      <c r="I9" s="42" t="s">
        <v>169</v>
      </c>
      <c r="J9" s="42" t="s">
        <v>162</v>
      </c>
      <c r="K9" s="34"/>
      <c r="L9" s="34"/>
    </row>
    <row r="10" spans="1:12" x14ac:dyDescent="0.2">
      <c r="A10" s="38">
        <v>2</v>
      </c>
      <c r="B10" s="39" t="s">
        <v>158</v>
      </c>
      <c r="C10" s="39" t="s">
        <v>167</v>
      </c>
      <c r="D10" s="39">
        <v>40</v>
      </c>
      <c r="E10" s="39">
        <v>0</v>
      </c>
      <c r="F10" s="39">
        <v>3</v>
      </c>
      <c r="G10" s="42" t="s">
        <v>168</v>
      </c>
      <c r="H10" s="39">
        <v>2</v>
      </c>
      <c r="I10" s="42" t="s">
        <v>161</v>
      </c>
      <c r="J10" s="42" t="s">
        <v>162</v>
      </c>
      <c r="K10" s="34"/>
      <c r="L10" s="34"/>
    </row>
    <row r="11" spans="1:12" x14ac:dyDescent="0.2">
      <c r="A11" s="38">
        <v>2</v>
      </c>
      <c r="B11" s="39" t="s">
        <v>158</v>
      </c>
      <c r="C11" s="39" t="s">
        <v>167</v>
      </c>
      <c r="D11" s="39">
        <v>42</v>
      </c>
      <c r="E11" s="39">
        <v>0</v>
      </c>
      <c r="F11" s="39">
        <v>3</v>
      </c>
      <c r="G11" s="42" t="s">
        <v>172</v>
      </c>
      <c r="H11" s="39">
        <v>2</v>
      </c>
      <c r="I11" s="42" t="s">
        <v>171</v>
      </c>
      <c r="J11" s="42" t="s">
        <v>162</v>
      </c>
      <c r="K11" s="34"/>
      <c r="L11" s="34"/>
    </row>
    <row r="12" spans="1:12" x14ac:dyDescent="0.2">
      <c r="A12" s="38">
        <v>3</v>
      </c>
      <c r="B12" s="39" t="s">
        <v>158</v>
      </c>
      <c r="C12" s="40" t="s">
        <v>173</v>
      </c>
      <c r="D12" s="39">
        <v>53</v>
      </c>
      <c r="E12" s="39">
        <v>1</v>
      </c>
      <c r="F12" s="39">
        <v>4</v>
      </c>
      <c r="G12" s="42" t="s">
        <v>168</v>
      </c>
      <c r="H12" s="39">
        <v>2</v>
      </c>
      <c r="I12" s="42" t="s">
        <v>174</v>
      </c>
      <c r="J12" s="42" t="s">
        <v>175</v>
      </c>
      <c r="K12" s="34"/>
      <c r="L12" s="34"/>
    </row>
    <row r="13" spans="1:12" x14ac:dyDescent="0.2">
      <c r="A13" s="38">
        <v>3</v>
      </c>
      <c r="B13" s="39" t="s">
        <v>158</v>
      </c>
      <c r="C13" s="40" t="s">
        <v>173</v>
      </c>
      <c r="D13" s="39">
        <v>53</v>
      </c>
      <c r="E13" s="39">
        <v>0</v>
      </c>
      <c r="F13" s="39">
        <v>3</v>
      </c>
      <c r="G13" s="42" t="s">
        <v>168</v>
      </c>
      <c r="H13" s="39">
        <v>2</v>
      </c>
      <c r="I13" s="42" t="s">
        <v>169</v>
      </c>
      <c r="J13" s="42" t="s">
        <v>176</v>
      </c>
      <c r="K13" s="34"/>
      <c r="L13" s="34"/>
    </row>
    <row r="14" spans="1:12" x14ac:dyDescent="0.2">
      <c r="A14" s="38">
        <v>3</v>
      </c>
      <c r="B14" s="39" t="s">
        <v>158</v>
      </c>
      <c r="C14" s="40" t="s">
        <v>173</v>
      </c>
      <c r="D14" s="39">
        <v>57</v>
      </c>
      <c r="E14" s="39">
        <v>1</v>
      </c>
      <c r="F14" s="39">
        <v>5</v>
      </c>
      <c r="G14" s="42" t="s">
        <v>172</v>
      </c>
      <c r="H14" s="39">
        <v>2</v>
      </c>
      <c r="I14" s="42" t="s">
        <v>177</v>
      </c>
      <c r="J14" s="42" t="s">
        <v>176</v>
      </c>
      <c r="K14" s="34"/>
      <c r="L14" s="34"/>
    </row>
    <row r="15" spans="1:12" x14ac:dyDescent="0.2">
      <c r="A15" s="38">
        <v>3</v>
      </c>
      <c r="B15" s="39" t="s">
        <v>158</v>
      </c>
      <c r="C15" s="40" t="s">
        <v>173</v>
      </c>
      <c r="D15" s="39">
        <v>58</v>
      </c>
      <c r="E15" s="39">
        <v>0</v>
      </c>
      <c r="F15" s="39">
        <v>4</v>
      </c>
      <c r="G15" s="42" t="s">
        <v>168</v>
      </c>
      <c r="H15" s="39">
        <v>2</v>
      </c>
      <c r="I15" s="42" t="s">
        <v>178</v>
      </c>
      <c r="J15" s="42" t="s">
        <v>162</v>
      </c>
      <c r="K15" s="34"/>
      <c r="L15" s="34"/>
    </row>
    <row r="16" spans="1:12" x14ac:dyDescent="0.2">
      <c r="A16" s="38">
        <v>4</v>
      </c>
      <c r="B16" s="39" t="s">
        <v>179</v>
      </c>
      <c r="C16" s="39" t="s">
        <v>159</v>
      </c>
      <c r="D16" s="39">
        <v>23</v>
      </c>
      <c r="E16" s="39">
        <v>0</v>
      </c>
      <c r="F16" s="39">
        <v>2</v>
      </c>
      <c r="G16" s="42" t="s">
        <v>180</v>
      </c>
      <c r="H16" s="39">
        <v>2</v>
      </c>
      <c r="I16" s="42" t="s">
        <v>181</v>
      </c>
      <c r="J16" s="42" t="s">
        <v>162</v>
      </c>
      <c r="K16" s="34"/>
      <c r="L16" s="34"/>
    </row>
    <row r="17" spans="1:12" x14ac:dyDescent="0.2">
      <c r="A17" s="38">
        <v>5</v>
      </c>
      <c r="B17" s="39" t="s">
        <v>179</v>
      </c>
      <c r="C17" s="39" t="s">
        <v>167</v>
      </c>
      <c r="D17" s="39">
        <v>32</v>
      </c>
      <c r="E17" s="39">
        <v>0</v>
      </c>
      <c r="F17" s="39">
        <v>3</v>
      </c>
      <c r="G17" s="42" t="s">
        <v>172</v>
      </c>
      <c r="H17" s="39">
        <v>2</v>
      </c>
      <c r="I17" s="42" t="s">
        <v>169</v>
      </c>
      <c r="J17" s="42" t="s">
        <v>176</v>
      </c>
      <c r="K17" s="34"/>
      <c r="L17" s="34"/>
    </row>
    <row r="18" spans="1:12" x14ac:dyDescent="0.2">
      <c r="A18" s="38">
        <v>5</v>
      </c>
      <c r="B18" s="39" t="s">
        <v>179</v>
      </c>
      <c r="C18" s="39" t="s">
        <v>167</v>
      </c>
      <c r="D18" s="39">
        <v>33</v>
      </c>
      <c r="E18" s="39">
        <v>1</v>
      </c>
      <c r="F18" s="39">
        <v>3</v>
      </c>
      <c r="G18" s="42" t="s">
        <v>160</v>
      </c>
      <c r="H18" s="39">
        <v>2</v>
      </c>
      <c r="I18" s="42" t="s">
        <v>182</v>
      </c>
      <c r="J18" s="42" t="s">
        <v>162</v>
      </c>
      <c r="K18" s="34"/>
      <c r="L18" s="34"/>
    </row>
    <row r="19" spans="1:12" x14ac:dyDescent="0.2">
      <c r="A19" s="38">
        <v>5</v>
      </c>
      <c r="B19" s="39" t="s">
        <v>179</v>
      </c>
      <c r="C19" s="39" t="s">
        <v>167</v>
      </c>
      <c r="D19" s="39">
        <v>35</v>
      </c>
      <c r="E19" s="39">
        <v>1</v>
      </c>
      <c r="F19" s="39">
        <v>3</v>
      </c>
      <c r="G19" s="42" t="s">
        <v>180</v>
      </c>
      <c r="H19" s="39">
        <v>2</v>
      </c>
      <c r="I19" s="42" t="s">
        <v>183</v>
      </c>
      <c r="J19" s="42" t="s">
        <v>176</v>
      </c>
      <c r="K19" s="34"/>
      <c r="L19" s="34"/>
    </row>
    <row r="20" spans="1:12" x14ac:dyDescent="0.2">
      <c r="A20" s="38">
        <v>5</v>
      </c>
      <c r="B20" s="39" t="s">
        <v>179</v>
      </c>
      <c r="C20" s="39" t="s">
        <v>167</v>
      </c>
      <c r="D20" s="39">
        <v>40</v>
      </c>
      <c r="E20" s="39">
        <v>1</v>
      </c>
      <c r="F20" s="39">
        <v>3</v>
      </c>
      <c r="G20" s="42" t="s">
        <v>180</v>
      </c>
      <c r="H20" s="39">
        <v>2</v>
      </c>
      <c r="I20" s="42" t="s">
        <v>177</v>
      </c>
      <c r="J20" s="42" t="s">
        <v>176</v>
      </c>
      <c r="K20" s="34"/>
      <c r="L20" s="34"/>
    </row>
    <row r="21" spans="1:12" x14ac:dyDescent="0.2">
      <c r="A21" s="38">
        <v>5</v>
      </c>
      <c r="B21" s="39" t="s">
        <v>179</v>
      </c>
      <c r="C21" s="39" t="s">
        <v>167</v>
      </c>
      <c r="D21" s="39">
        <v>40</v>
      </c>
      <c r="E21" s="39">
        <v>0</v>
      </c>
      <c r="F21" s="39">
        <v>3</v>
      </c>
      <c r="G21" s="42" t="s">
        <v>160</v>
      </c>
      <c r="H21" s="39">
        <v>2</v>
      </c>
      <c r="I21" s="42" t="s">
        <v>184</v>
      </c>
      <c r="J21" s="42" t="s">
        <v>176</v>
      </c>
      <c r="K21" s="34"/>
      <c r="L21" s="34"/>
    </row>
    <row r="22" spans="1:12" x14ac:dyDescent="0.2">
      <c r="A22" s="38">
        <v>5</v>
      </c>
      <c r="B22" s="39" t="s">
        <v>179</v>
      </c>
      <c r="C22" s="39" t="s">
        <v>167</v>
      </c>
      <c r="D22" s="39">
        <v>44</v>
      </c>
      <c r="E22" s="39">
        <v>1</v>
      </c>
      <c r="F22" s="39">
        <v>4</v>
      </c>
      <c r="G22" s="42" t="s">
        <v>160</v>
      </c>
      <c r="H22" s="39">
        <v>2</v>
      </c>
      <c r="I22" s="42" t="s">
        <v>183</v>
      </c>
      <c r="J22" s="42" t="s">
        <v>185</v>
      </c>
      <c r="K22" s="34"/>
      <c r="L22" s="34"/>
    </row>
    <row r="23" spans="1:12" x14ac:dyDescent="0.2">
      <c r="A23" s="38">
        <v>6</v>
      </c>
      <c r="B23" s="39" t="s">
        <v>179</v>
      </c>
      <c r="C23" s="40" t="s">
        <v>173</v>
      </c>
      <c r="D23" s="39">
        <v>51</v>
      </c>
      <c r="E23" s="39">
        <v>1</v>
      </c>
      <c r="F23" s="39">
        <v>2</v>
      </c>
      <c r="G23" s="42" t="s">
        <v>186</v>
      </c>
      <c r="H23" s="39">
        <v>3</v>
      </c>
      <c r="I23" s="42" t="s">
        <v>187</v>
      </c>
      <c r="J23" s="42" t="s">
        <v>188</v>
      </c>
      <c r="K23" s="34"/>
      <c r="L23" s="34"/>
    </row>
    <row r="24" spans="1:12" x14ac:dyDescent="0.2">
      <c r="A24" s="38">
        <v>6</v>
      </c>
      <c r="B24" s="39" t="s">
        <v>179</v>
      </c>
      <c r="C24" s="40" t="s">
        <v>173</v>
      </c>
      <c r="D24" s="39">
        <v>59</v>
      </c>
      <c r="E24" s="39">
        <v>1</v>
      </c>
      <c r="F24" s="39">
        <v>2</v>
      </c>
      <c r="G24" s="42" t="s">
        <v>160</v>
      </c>
      <c r="H24" s="39">
        <v>2</v>
      </c>
      <c r="I24" s="42" t="s">
        <v>184</v>
      </c>
      <c r="J24" s="42" t="s">
        <v>176</v>
      </c>
      <c r="K24" s="34"/>
      <c r="L24" s="34"/>
    </row>
    <row r="25" spans="1:12" x14ac:dyDescent="0.2">
      <c r="A25" s="38">
        <v>6</v>
      </c>
      <c r="B25" s="39" t="s">
        <v>179</v>
      </c>
      <c r="C25" s="40" t="s">
        <v>173</v>
      </c>
      <c r="D25" s="39">
        <v>65</v>
      </c>
      <c r="E25" s="39">
        <v>1</v>
      </c>
      <c r="F25" s="39">
        <v>3</v>
      </c>
      <c r="G25" s="42" t="s">
        <v>160</v>
      </c>
      <c r="H25" s="39">
        <v>2</v>
      </c>
      <c r="I25" s="42" t="s">
        <v>187</v>
      </c>
      <c r="J25" s="42" t="s">
        <v>162</v>
      </c>
      <c r="K25" s="34"/>
      <c r="L25" s="34"/>
    </row>
    <row r="26" spans="1:12" x14ac:dyDescent="0.2">
      <c r="A26" s="38">
        <v>6</v>
      </c>
      <c r="B26" s="39" t="s">
        <v>179</v>
      </c>
      <c r="C26" s="40" t="s">
        <v>173</v>
      </c>
      <c r="D26" s="39">
        <v>67</v>
      </c>
      <c r="E26" s="39">
        <v>1</v>
      </c>
      <c r="F26" s="39">
        <v>6</v>
      </c>
      <c r="G26" s="42" t="s">
        <v>180</v>
      </c>
      <c r="H26" s="39">
        <v>2</v>
      </c>
      <c r="I26" s="42" t="s">
        <v>189</v>
      </c>
      <c r="J26" s="42" t="s">
        <v>162</v>
      </c>
      <c r="K26" s="34"/>
      <c r="L26" s="34"/>
    </row>
    <row r="27" spans="1:12" x14ac:dyDescent="0.2">
      <c r="A27" s="38">
        <v>6</v>
      </c>
      <c r="B27" s="39" t="s">
        <v>179</v>
      </c>
      <c r="C27" s="40" t="s">
        <v>173</v>
      </c>
      <c r="D27" s="39">
        <v>68</v>
      </c>
      <c r="E27" s="39">
        <v>0</v>
      </c>
      <c r="F27" s="39">
        <v>3</v>
      </c>
      <c r="G27" s="42" t="s">
        <v>190</v>
      </c>
      <c r="H27" s="39">
        <v>1</v>
      </c>
      <c r="I27" s="42" t="s">
        <v>191</v>
      </c>
      <c r="J27" s="42" t="s">
        <v>176</v>
      </c>
      <c r="K27" s="34"/>
      <c r="L27" s="34"/>
    </row>
    <row r="28" spans="1:12" x14ac:dyDescent="0.2">
      <c r="A28" s="38">
        <v>6</v>
      </c>
      <c r="B28" s="39" t="s">
        <v>179</v>
      </c>
      <c r="C28" s="40" t="s">
        <v>173</v>
      </c>
      <c r="D28" s="39">
        <v>75</v>
      </c>
      <c r="E28" s="39">
        <v>0</v>
      </c>
      <c r="F28" s="39">
        <v>3</v>
      </c>
      <c r="G28" s="42" t="s">
        <v>136</v>
      </c>
      <c r="H28" s="39" t="s">
        <v>136</v>
      </c>
      <c r="I28" s="42" t="s">
        <v>192</v>
      </c>
      <c r="J28" s="42" t="s">
        <v>176</v>
      </c>
      <c r="K28" s="34"/>
      <c r="L28" s="34"/>
    </row>
    <row r="29" spans="1:12" x14ac:dyDescent="0.2">
      <c r="A29" s="38">
        <v>7</v>
      </c>
      <c r="B29" s="39" t="s">
        <v>193</v>
      </c>
      <c r="C29" s="39" t="s">
        <v>159</v>
      </c>
      <c r="D29" s="39">
        <v>21</v>
      </c>
      <c r="E29" s="39">
        <v>0</v>
      </c>
      <c r="F29" s="39">
        <v>3</v>
      </c>
      <c r="G29" s="42" t="s">
        <v>172</v>
      </c>
      <c r="H29" s="39">
        <v>2</v>
      </c>
      <c r="I29" s="42" t="s">
        <v>169</v>
      </c>
      <c r="J29" s="42" t="s">
        <v>162</v>
      </c>
      <c r="K29" s="34"/>
      <c r="L29" s="34"/>
    </row>
    <row r="30" spans="1:12" x14ac:dyDescent="0.2">
      <c r="A30" s="38">
        <v>7</v>
      </c>
      <c r="B30" s="39" t="s">
        <v>193</v>
      </c>
      <c r="C30" s="39" t="s">
        <v>159</v>
      </c>
      <c r="D30" s="39">
        <v>22</v>
      </c>
      <c r="E30" s="39">
        <v>1</v>
      </c>
      <c r="F30" s="39">
        <v>1</v>
      </c>
      <c r="G30" s="42" t="s">
        <v>172</v>
      </c>
      <c r="H30" s="39">
        <v>2</v>
      </c>
      <c r="I30" s="42" t="s">
        <v>177</v>
      </c>
      <c r="J30" s="42" t="s">
        <v>185</v>
      </c>
      <c r="K30" s="34"/>
      <c r="L30" s="34"/>
    </row>
    <row r="31" spans="1:12" x14ac:dyDescent="0.2">
      <c r="A31" s="38">
        <v>7</v>
      </c>
      <c r="B31" s="39" t="s">
        <v>193</v>
      </c>
      <c r="C31" s="39" t="s">
        <v>159</v>
      </c>
      <c r="D31" s="39">
        <v>22</v>
      </c>
      <c r="E31" s="39">
        <v>1</v>
      </c>
      <c r="F31" s="39">
        <v>1</v>
      </c>
      <c r="G31" s="42" t="s">
        <v>172</v>
      </c>
      <c r="H31" s="39">
        <v>2</v>
      </c>
      <c r="I31" s="42" t="s">
        <v>169</v>
      </c>
      <c r="J31" s="42" t="s">
        <v>185</v>
      </c>
      <c r="K31" s="34"/>
      <c r="L31" s="34"/>
    </row>
    <row r="32" spans="1:12" x14ac:dyDescent="0.2">
      <c r="A32" s="38">
        <v>7</v>
      </c>
      <c r="B32" s="39" t="s">
        <v>193</v>
      </c>
      <c r="C32" s="39" t="s">
        <v>159</v>
      </c>
      <c r="D32" s="39">
        <v>23</v>
      </c>
      <c r="E32" s="39">
        <v>1</v>
      </c>
      <c r="F32" s="39">
        <v>1</v>
      </c>
      <c r="G32" s="42" t="s">
        <v>172</v>
      </c>
      <c r="H32" s="39">
        <v>2</v>
      </c>
      <c r="I32" s="42" t="s">
        <v>177</v>
      </c>
      <c r="J32" s="42" t="s">
        <v>185</v>
      </c>
      <c r="K32" s="34"/>
      <c r="L32" s="34"/>
    </row>
    <row r="33" spans="1:12" x14ac:dyDescent="0.2">
      <c r="A33" s="38">
        <v>7</v>
      </c>
      <c r="B33" s="39" t="s">
        <v>193</v>
      </c>
      <c r="C33" s="39" t="s">
        <v>159</v>
      </c>
      <c r="D33" s="39">
        <v>28</v>
      </c>
      <c r="E33" s="39">
        <v>1</v>
      </c>
      <c r="F33" s="39">
        <v>3</v>
      </c>
      <c r="G33" s="42" t="s">
        <v>172</v>
      </c>
      <c r="H33" s="39">
        <v>2</v>
      </c>
      <c r="I33" s="42" t="s">
        <v>169</v>
      </c>
      <c r="J33" s="42" t="s">
        <v>162</v>
      </c>
      <c r="K33" s="34"/>
      <c r="L33" s="34"/>
    </row>
    <row r="34" spans="1:12" x14ac:dyDescent="0.2">
      <c r="A34" s="38">
        <v>7</v>
      </c>
      <c r="B34" s="39" t="s">
        <v>193</v>
      </c>
      <c r="C34" s="39" t="s">
        <v>159</v>
      </c>
      <c r="D34" s="39">
        <v>30</v>
      </c>
      <c r="E34" s="39">
        <v>1</v>
      </c>
      <c r="F34" s="39">
        <v>1</v>
      </c>
      <c r="G34" s="42" t="s">
        <v>172</v>
      </c>
      <c r="H34" s="39">
        <v>2</v>
      </c>
      <c r="I34" s="42" t="s">
        <v>177</v>
      </c>
      <c r="J34" s="42" t="s">
        <v>176</v>
      </c>
      <c r="K34" s="34"/>
      <c r="L34" s="34"/>
    </row>
    <row r="35" spans="1:12" x14ac:dyDescent="0.2">
      <c r="A35" s="38">
        <v>8</v>
      </c>
      <c r="B35" s="39" t="s">
        <v>193</v>
      </c>
      <c r="C35" s="39" t="s">
        <v>167</v>
      </c>
      <c r="D35" s="39">
        <v>40</v>
      </c>
      <c r="E35" s="39">
        <v>1</v>
      </c>
      <c r="F35" s="39">
        <v>1</v>
      </c>
      <c r="G35" s="42" t="s">
        <v>194</v>
      </c>
      <c r="H35" s="39">
        <v>2</v>
      </c>
      <c r="I35" s="42" t="s">
        <v>177</v>
      </c>
      <c r="J35" s="42" t="s">
        <v>162</v>
      </c>
      <c r="K35" s="34"/>
      <c r="L35" s="34"/>
    </row>
    <row r="36" spans="1:12" x14ac:dyDescent="0.2">
      <c r="A36" s="38">
        <v>8</v>
      </c>
      <c r="B36" s="39" t="s">
        <v>193</v>
      </c>
      <c r="C36" s="39" t="s">
        <v>167</v>
      </c>
      <c r="D36" s="39">
        <v>42</v>
      </c>
      <c r="E36" s="39">
        <v>1</v>
      </c>
      <c r="F36" s="39">
        <v>5</v>
      </c>
      <c r="G36" s="42" t="s">
        <v>186</v>
      </c>
      <c r="H36" s="39">
        <v>3</v>
      </c>
      <c r="I36" s="42" t="s">
        <v>169</v>
      </c>
      <c r="J36" s="42" t="s">
        <v>176</v>
      </c>
      <c r="K36" s="34"/>
      <c r="L36" s="34"/>
    </row>
    <row r="37" spans="1:12" x14ac:dyDescent="0.2">
      <c r="A37" s="38">
        <v>8</v>
      </c>
      <c r="B37" s="39" t="s">
        <v>193</v>
      </c>
      <c r="C37" s="39" t="s">
        <v>167</v>
      </c>
      <c r="D37" s="39">
        <v>45</v>
      </c>
      <c r="E37" s="39">
        <v>1</v>
      </c>
      <c r="F37" s="39">
        <v>2</v>
      </c>
      <c r="G37" s="42" t="s">
        <v>195</v>
      </c>
      <c r="H37" s="39">
        <v>2</v>
      </c>
      <c r="I37" s="42" t="s">
        <v>196</v>
      </c>
      <c r="J37" s="42" t="s">
        <v>197</v>
      </c>
      <c r="K37" s="34"/>
      <c r="L37" s="34"/>
    </row>
    <row r="38" spans="1:12" x14ac:dyDescent="0.2">
      <c r="A38" s="38">
        <v>8</v>
      </c>
      <c r="B38" s="39" t="s">
        <v>193</v>
      </c>
      <c r="C38" s="39" t="s">
        <v>167</v>
      </c>
      <c r="D38" s="39">
        <v>48</v>
      </c>
      <c r="E38" s="39">
        <v>0</v>
      </c>
      <c r="F38" s="39">
        <v>3</v>
      </c>
      <c r="G38" s="42" t="s">
        <v>198</v>
      </c>
      <c r="H38" s="39">
        <v>2</v>
      </c>
      <c r="I38" s="42" t="s">
        <v>169</v>
      </c>
      <c r="J38" s="42" t="s">
        <v>176</v>
      </c>
      <c r="K38" s="34"/>
      <c r="L38" s="34"/>
    </row>
    <row r="39" spans="1:12" x14ac:dyDescent="0.2">
      <c r="A39" s="38">
        <v>9</v>
      </c>
      <c r="B39" s="39" t="s">
        <v>193</v>
      </c>
      <c r="C39" s="40" t="s">
        <v>173</v>
      </c>
      <c r="D39" s="39">
        <v>52</v>
      </c>
      <c r="E39" s="39">
        <v>1</v>
      </c>
      <c r="F39" s="39">
        <v>1</v>
      </c>
      <c r="G39" s="42" t="s">
        <v>190</v>
      </c>
      <c r="H39" s="39">
        <v>1</v>
      </c>
      <c r="I39" s="42" t="s">
        <v>177</v>
      </c>
      <c r="J39" s="42" t="s">
        <v>176</v>
      </c>
      <c r="K39" s="34"/>
      <c r="L39" s="34"/>
    </row>
    <row r="40" spans="1:12" x14ac:dyDescent="0.2">
      <c r="A40" s="38">
        <v>9</v>
      </c>
      <c r="B40" s="39" t="s">
        <v>193</v>
      </c>
      <c r="C40" s="40" t="s">
        <v>173</v>
      </c>
      <c r="D40" s="39">
        <v>61</v>
      </c>
      <c r="E40" s="39">
        <v>0</v>
      </c>
      <c r="F40" s="39">
        <v>2</v>
      </c>
      <c r="G40" s="42" t="s">
        <v>190</v>
      </c>
      <c r="H40" s="39">
        <v>1</v>
      </c>
      <c r="I40" s="42" t="s">
        <v>184</v>
      </c>
      <c r="J40" s="42" t="s">
        <v>176</v>
      </c>
      <c r="K40" s="34"/>
      <c r="L40" s="34"/>
    </row>
    <row r="41" spans="1:12" x14ac:dyDescent="0.2">
      <c r="A41" s="38">
        <v>9</v>
      </c>
      <c r="B41" s="39" t="s">
        <v>193</v>
      </c>
      <c r="C41" s="40" t="s">
        <v>173</v>
      </c>
      <c r="D41" s="39">
        <v>64</v>
      </c>
      <c r="E41" s="39">
        <v>0</v>
      </c>
      <c r="F41" s="39">
        <v>1</v>
      </c>
      <c r="G41" s="42" t="s">
        <v>194</v>
      </c>
      <c r="H41" s="39">
        <v>2</v>
      </c>
      <c r="I41" s="42" t="s">
        <v>184</v>
      </c>
      <c r="J41" s="42" t="s">
        <v>185</v>
      </c>
      <c r="K41" s="34"/>
      <c r="L41" s="34"/>
    </row>
    <row r="42" spans="1:12" x14ac:dyDescent="0.2">
      <c r="A42" s="38">
        <v>9</v>
      </c>
      <c r="B42" s="39" t="s">
        <v>193</v>
      </c>
      <c r="C42" s="40" t="s">
        <v>173</v>
      </c>
      <c r="D42" s="39">
        <v>67</v>
      </c>
      <c r="E42" s="39">
        <v>0</v>
      </c>
      <c r="F42" s="39">
        <v>4</v>
      </c>
      <c r="G42" s="42" t="s">
        <v>198</v>
      </c>
      <c r="H42" s="39">
        <v>2</v>
      </c>
      <c r="I42" s="42" t="s">
        <v>199</v>
      </c>
      <c r="J42" s="42" t="s">
        <v>176</v>
      </c>
      <c r="K42" s="34"/>
      <c r="L42" s="34"/>
    </row>
    <row r="43" spans="1:12" x14ac:dyDescent="0.2">
      <c r="A43" s="43" t="s">
        <v>200</v>
      </c>
    </row>
    <row r="44" spans="1:12" x14ac:dyDescent="0.2">
      <c r="A44" s="44" t="s">
        <v>201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C079A-0F45-5E44-97CD-C0523F8AD393}">
  <dimension ref="A1:AE243"/>
  <sheetViews>
    <sheetView zoomScale="159" zoomScaleNormal="159" workbookViewId="0">
      <pane ySplit="1" topLeftCell="A2" activePane="bottomLeft" state="frozen"/>
      <selection pane="bottomLeft" activeCell="C2" sqref="C2"/>
    </sheetView>
  </sheetViews>
  <sheetFormatPr baseColWidth="10" defaultColWidth="10.83203125" defaultRowHeight="15.75" customHeight="1" x14ac:dyDescent="0.2"/>
  <cols>
    <col min="1" max="1" width="10.6640625" customWidth="1"/>
    <col min="2" max="2" width="11.83203125" bestFit="1" customWidth="1"/>
    <col min="3" max="3" width="11.1640625" bestFit="1" customWidth="1"/>
    <col min="4" max="4" width="13.1640625" bestFit="1" customWidth="1"/>
    <col min="5" max="5" width="34" bestFit="1" customWidth="1"/>
    <col min="6" max="6" width="56.1640625" bestFit="1" customWidth="1"/>
    <col min="7" max="7" width="20.6640625" bestFit="1" customWidth="1"/>
    <col min="8" max="8" width="25.83203125" bestFit="1" customWidth="1"/>
    <col min="9" max="9" width="12.83203125" style="15" bestFit="1" customWidth="1"/>
    <col min="10" max="10" width="12.5" style="15" bestFit="1" customWidth="1"/>
    <col min="11" max="11" width="10.1640625" style="15" bestFit="1" customWidth="1"/>
    <col min="12" max="12" width="12.1640625" style="15" bestFit="1" customWidth="1"/>
    <col min="13" max="13" width="16.6640625" style="15" bestFit="1" customWidth="1"/>
    <col min="14" max="14" width="90" style="15" hidden="1" customWidth="1"/>
    <col min="15" max="15" width="29" bestFit="1" customWidth="1"/>
    <col min="16" max="16" width="19.83203125" bestFit="1" customWidth="1"/>
    <col min="17" max="18" width="18.1640625" bestFit="1" customWidth="1"/>
    <col min="19" max="19" width="21" bestFit="1" customWidth="1"/>
    <col min="20" max="20" width="20.1640625" bestFit="1" customWidth="1"/>
    <col min="21" max="21" width="16.83203125" bestFit="1" customWidth="1"/>
    <col min="22" max="22" width="22" bestFit="1" customWidth="1"/>
    <col min="23" max="23" width="14.5" bestFit="1" customWidth="1"/>
    <col min="24" max="24" width="17.83203125" bestFit="1" customWidth="1"/>
    <col min="25" max="25" width="17.5" bestFit="1" customWidth="1"/>
    <col min="26" max="26" width="16.5" bestFit="1" customWidth="1"/>
    <col min="27" max="27" width="14.1640625" bestFit="1" customWidth="1"/>
    <col min="28" max="28" width="16" bestFit="1" customWidth="1"/>
    <col min="29" max="29" width="14.6640625" bestFit="1" customWidth="1"/>
    <col min="30" max="30" width="16" bestFit="1" customWidth="1"/>
    <col min="31" max="31" width="61" bestFit="1" customWidth="1"/>
  </cols>
  <sheetData>
    <row r="1" spans="1:31" s="33" customFormat="1" ht="34" x14ac:dyDescent="0.2">
      <c r="A1" s="64" t="s">
        <v>130</v>
      </c>
      <c r="B1" s="64" t="s">
        <v>132</v>
      </c>
      <c r="C1" s="64" t="s">
        <v>6</v>
      </c>
      <c r="D1" s="64" t="s">
        <v>144</v>
      </c>
      <c r="E1" s="65" t="s">
        <v>437</v>
      </c>
      <c r="F1" s="57" t="s">
        <v>7</v>
      </c>
      <c r="G1" s="57" t="s">
        <v>8</v>
      </c>
      <c r="H1" s="57" t="s">
        <v>9</v>
      </c>
      <c r="I1" s="57" t="s">
        <v>10</v>
      </c>
      <c r="J1" s="57" t="s">
        <v>11</v>
      </c>
      <c r="K1" s="57" t="s">
        <v>12</v>
      </c>
      <c r="L1" s="57" t="s">
        <v>13</v>
      </c>
      <c r="M1" s="57" t="s">
        <v>14</v>
      </c>
      <c r="N1" s="66" t="s">
        <v>153</v>
      </c>
      <c r="O1" s="64" t="s">
        <v>202</v>
      </c>
      <c r="P1" s="67" t="s">
        <v>203</v>
      </c>
      <c r="Q1" s="67" t="s">
        <v>204</v>
      </c>
      <c r="R1" s="67" t="s">
        <v>205</v>
      </c>
      <c r="S1" s="67" t="s">
        <v>206</v>
      </c>
      <c r="T1" s="67" t="s">
        <v>207</v>
      </c>
      <c r="U1" s="68" t="s">
        <v>208</v>
      </c>
      <c r="V1" s="67" t="s">
        <v>209</v>
      </c>
      <c r="W1" s="52" t="s">
        <v>210</v>
      </c>
      <c r="X1" s="52" t="s">
        <v>211</v>
      </c>
      <c r="Y1" s="52" t="s">
        <v>212</v>
      </c>
      <c r="Z1" s="52" t="s">
        <v>213</v>
      </c>
      <c r="AA1" s="52" t="s">
        <v>214</v>
      </c>
      <c r="AB1" s="52" t="s">
        <v>215</v>
      </c>
      <c r="AC1" s="52" t="s">
        <v>216</v>
      </c>
      <c r="AD1" s="52" t="s">
        <v>217</v>
      </c>
      <c r="AE1" s="51" t="s">
        <v>218</v>
      </c>
    </row>
    <row r="2" spans="1:31" ht="16" customHeight="1" x14ac:dyDescent="0.2">
      <c r="A2" s="56">
        <v>1</v>
      </c>
      <c r="B2" s="56" t="s">
        <v>219</v>
      </c>
      <c r="C2" s="56" t="s">
        <v>159</v>
      </c>
      <c r="D2" s="60" t="s">
        <v>44</v>
      </c>
      <c r="E2" s="58" t="s">
        <v>23</v>
      </c>
      <c r="F2" s="56" t="s">
        <v>63</v>
      </c>
      <c r="G2" s="56">
        <f>1/8</f>
        <v>0.125</v>
      </c>
      <c r="H2" s="56" t="s">
        <v>53</v>
      </c>
      <c r="I2" s="69">
        <v>30</v>
      </c>
      <c r="J2" s="69">
        <v>1</v>
      </c>
      <c r="K2" s="69"/>
      <c r="L2" s="69">
        <f t="shared" ref="L2:L38" si="0">IF(J2=0,(K2/G2),J2)</f>
        <v>1</v>
      </c>
      <c r="M2" s="69">
        <f>I2*L2</f>
        <v>30</v>
      </c>
      <c r="N2" s="61"/>
      <c r="O2" s="56">
        <v>53</v>
      </c>
      <c r="P2" s="56">
        <f t="shared" ref="P2:P65" si="1">(O2*M2)/I2</f>
        <v>53</v>
      </c>
      <c r="Q2" s="56">
        <v>0.6</v>
      </c>
      <c r="R2" s="56">
        <f t="shared" ref="R2:R48" si="2">(Q2*M2)/I2</f>
        <v>0.6</v>
      </c>
      <c r="S2" s="56">
        <v>2.2000000000000002</v>
      </c>
      <c r="T2" s="56">
        <f t="shared" ref="T2:T33" si="3">(S2*M2)/I2</f>
        <v>2.2000000000000002</v>
      </c>
      <c r="U2" s="59">
        <v>4.5999999999999996</v>
      </c>
      <c r="V2" s="56">
        <f t="shared" ref="V2:V65" si="4">(U2*M2)/I2</f>
        <v>4.5999999999999996</v>
      </c>
      <c r="W2" s="50">
        <v>1.5</v>
      </c>
      <c r="X2" s="50">
        <f t="shared" ref="X2:X65" si="5">(W2*M2)/I2</f>
        <v>1.5</v>
      </c>
      <c r="Y2" s="50">
        <v>3</v>
      </c>
      <c r="Z2" s="50">
        <f t="shared" ref="Z2:Z33" si="6">(Y2*M2)/I2</f>
        <v>3</v>
      </c>
      <c r="AA2" s="50">
        <v>0.3</v>
      </c>
      <c r="AB2" s="50">
        <f t="shared" ref="AB2:AB33" si="7">(AA2*M2)/I2</f>
        <v>0.3</v>
      </c>
      <c r="AC2" s="50">
        <v>3</v>
      </c>
      <c r="AD2" s="50">
        <f t="shared" ref="AD2:AD65" si="8">(AC2*M2)/I2</f>
        <v>3</v>
      </c>
    </row>
    <row r="3" spans="1:31" ht="16" customHeight="1" x14ac:dyDescent="0.2">
      <c r="A3" s="56">
        <v>1</v>
      </c>
      <c r="B3" s="56" t="s">
        <v>219</v>
      </c>
      <c r="C3" s="56" t="s">
        <v>159</v>
      </c>
      <c r="D3" s="60" t="s">
        <v>97</v>
      </c>
      <c r="E3" s="58" t="s">
        <v>424</v>
      </c>
      <c r="F3" s="56" t="s">
        <v>115</v>
      </c>
      <c r="G3" s="56">
        <v>3</v>
      </c>
      <c r="H3" s="56" t="s">
        <v>116</v>
      </c>
      <c r="I3" s="69">
        <v>18</v>
      </c>
      <c r="J3" s="69">
        <v>1</v>
      </c>
      <c r="K3" s="69"/>
      <c r="L3" s="69">
        <f t="shared" si="0"/>
        <v>1</v>
      </c>
      <c r="M3" s="69">
        <f>I3*L3</f>
        <v>18</v>
      </c>
      <c r="N3" s="61" t="s">
        <v>425</v>
      </c>
      <c r="O3" s="56">
        <v>96</v>
      </c>
      <c r="P3" s="56">
        <f t="shared" si="1"/>
        <v>96</v>
      </c>
      <c r="Q3" s="56">
        <v>1</v>
      </c>
      <c r="R3" s="56">
        <f t="shared" si="2"/>
        <v>1</v>
      </c>
      <c r="S3" s="56">
        <v>23</v>
      </c>
      <c r="T3" s="56">
        <f t="shared" si="3"/>
        <v>23</v>
      </c>
      <c r="U3" s="59">
        <v>0</v>
      </c>
      <c r="V3" s="56">
        <f t="shared" si="4"/>
        <v>0</v>
      </c>
      <c r="W3" s="50">
        <v>1</v>
      </c>
      <c r="X3" s="50">
        <f t="shared" si="5"/>
        <v>1</v>
      </c>
      <c r="Y3" s="50">
        <v>25</v>
      </c>
      <c r="Z3" s="50">
        <f t="shared" si="6"/>
        <v>25</v>
      </c>
      <c r="AA3" s="50">
        <v>0.7</v>
      </c>
      <c r="AB3" s="50">
        <f t="shared" si="7"/>
        <v>0.7</v>
      </c>
      <c r="AC3" s="50">
        <v>20</v>
      </c>
      <c r="AD3" s="50">
        <f t="shared" si="8"/>
        <v>20</v>
      </c>
    </row>
    <row r="4" spans="1:31" ht="16" customHeight="1" x14ac:dyDescent="0.2">
      <c r="A4" s="56">
        <v>1</v>
      </c>
      <c r="B4" s="56" t="s">
        <v>219</v>
      </c>
      <c r="C4" s="56" t="s">
        <v>159</v>
      </c>
      <c r="D4" s="58" t="s">
        <v>17</v>
      </c>
      <c r="E4" s="58" t="s">
        <v>18</v>
      </c>
      <c r="F4" s="56" t="s">
        <v>31</v>
      </c>
      <c r="G4" s="56">
        <v>1</v>
      </c>
      <c r="H4" s="56" t="s">
        <v>32</v>
      </c>
      <c r="I4" s="69">
        <v>65</v>
      </c>
      <c r="J4" s="69">
        <v>1</v>
      </c>
      <c r="K4" s="69"/>
      <c r="L4" s="69">
        <f t="shared" si="0"/>
        <v>1</v>
      </c>
      <c r="M4" s="69">
        <f>I4*J4</f>
        <v>65</v>
      </c>
      <c r="N4" s="61"/>
      <c r="O4" s="56">
        <v>66</v>
      </c>
      <c r="P4" s="56">
        <f t="shared" si="1"/>
        <v>66</v>
      </c>
      <c r="Q4" s="56">
        <v>0.7</v>
      </c>
      <c r="R4" s="56">
        <f t="shared" si="2"/>
        <v>0.7</v>
      </c>
      <c r="S4" s="56">
        <v>15.2</v>
      </c>
      <c r="T4" s="56">
        <f t="shared" si="3"/>
        <v>15.2</v>
      </c>
      <c r="U4" s="59">
        <v>0.3</v>
      </c>
      <c r="V4" s="56">
        <f t="shared" si="4"/>
        <v>0.3</v>
      </c>
      <c r="W4" s="50">
        <v>1.6</v>
      </c>
      <c r="X4" s="50">
        <f t="shared" si="5"/>
        <v>1.6</v>
      </c>
      <c r="Y4" s="50">
        <v>4</v>
      </c>
      <c r="Z4" s="50">
        <f t="shared" si="6"/>
        <v>4</v>
      </c>
      <c r="AA4" s="50">
        <v>0.2</v>
      </c>
      <c r="AB4" s="50">
        <f t="shared" si="7"/>
        <v>0.2</v>
      </c>
      <c r="AC4" s="50">
        <v>1</v>
      </c>
      <c r="AD4" s="50">
        <f t="shared" si="8"/>
        <v>1</v>
      </c>
    </row>
    <row r="5" spans="1:31" ht="16" customHeight="1" x14ac:dyDescent="0.2">
      <c r="A5" s="56">
        <v>1</v>
      </c>
      <c r="B5" s="56" t="s">
        <v>219</v>
      </c>
      <c r="C5" s="56" t="s">
        <v>159</v>
      </c>
      <c r="D5" s="60" t="s">
        <v>74</v>
      </c>
      <c r="E5" s="58" t="s">
        <v>418</v>
      </c>
      <c r="F5" s="56" t="s">
        <v>322</v>
      </c>
      <c r="G5" s="56">
        <v>1</v>
      </c>
      <c r="H5" s="56" t="s">
        <v>34</v>
      </c>
      <c r="I5" s="69">
        <v>89</v>
      </c>
      <c r="J5" s="69">
        <v>1</v>
      </c>
      <c r="K5" s="69"/>
      <c r="L5" s="69">
        <f t="shared" si="0"/>
        <v>1</v>
      </c>
      <c r="M5" s="69">
        <f>I5*L5</f>
        <v>89</v>
      </c>
      <c r="N5" s="61"/>
      <c r="O5" s="56">
        <v>36</v>
      </c>
      <c r="P5" s="56">
        <f t="shared" si="1"/>
        <v>36</v>
      </c>
      <c r="Q5" s="56">
        <v>2.7</v>
      </c>
      <c r="R5" s="56">
        <f t="shared" si="2"/>
        <v>2.7</v>
      </c>
      <c r="S5" s="56">
        <v>5.6</v>
      </c>
      <c r="T5" s="56">
        <f t="shared" si="3"/>
        <v>5.6</v>
      </c>
      <c r="U5" s="59">
        <v>0.3</v>
      </c>
      <c r="V5" s="56">
        <f t="shared" si="4"/>
        <v>0.3</v>
      </c>
      <c r="W5" s="50">
        <v>2.9</v>
      </c>
      <c r="X5" s="50">
        <f t="shared" si="5"/>
        <v>2.8999999999999995</v>
      </c>
      <c r="Y5" s="50">
        <v>28</v>
      </c>
      <c r="Z5" s="50">
        <f t="shared" si="6"/>
        <v>28</v>
      </c>
      <c r="AA5" s="50">
        <v>0.6</v>
      </c>
      <c r="AB5" s="50">
        <f t="shared" si="7"/>
        <v>0.6</v>
      </c>
      <c r="AC5" s="50">
        <v>20</v>
      </c>
      <c r="AD5" s="50">
        <f t="shared" si="8"/>
        <v>20</v>
      </c>
    </row>
    <row r="6" spans="1:31" ht="16" customHeight="1" x14ac:dyDescent="0.2">
      <c r="A6" s="56">
        <v>1</v>
      </c>
      <c r="B6" s="56" t="s">
        <v>219</v>
      </c>
      <c r="C6" s="56" t="s">
        <v>159</v>
      </c>
      <c r="D6" s="60" t="s">
        <v>74</v>
      </c>
      <c r="E6" s="58" t="s">
        <v>36</v>
      </c>
      <c r="F6" s="56" t="s">
        <v>75</v>
      </c>
      <c r="G6" s="56">
        <v>1</v>
      </c>
      <c r="H6" s="56" t="s">
        <v>76</v>
      </c>
      <c r="I6" s="69">
        <v>300</v>
      </c>
      <c r="J6" s="69">
        <v>1</v>
      </c>
      <c r="K6" s="69"/>
      <c r="L6" s="69">
        <f t="shared" si="0"/>
        <v>1</v>
      </c>
      <c r="M6" s="69">
        <f>I6*L6</f>
        <v>300</v>
      </c>
      <c r="N6" s="61"/>
      <c r="O6" s="56">
        <v>73</v>
      </c>
      <c r="P6" s="56">
        <f t="shared" si="1"/>
        <v>73</v>
      </c>
      <c r="Q6" s="56">
        <v>14.8</v>
      </c>
      <c r="R6" s="56">
        <f t="shared" si="2"/>
        <v>14.8</v>
      </c>
      <c r="S6" s="56">
        <v>0.7</v>
      </c>
      <c r="T6" s="56">
        <f t="shared" si="3"/>
        <v>0.7</v>
      </c>
      <c r="U6" s="59">
        <v>1.2</v>
      </c>
      <c r="V6" s="56">
        <f t="shared" si="4"/>
        <v>1.2</v>
      </c>
      <c r="W6" s="50">
        <v>0</v>
      </c>
      <c r="X6" s="50">
        <f t="shared" si="5"/>
        <v>0</v>
      </c>
      <c r="Y6" s="50">
        <v>38</v>
      </c>
      <c r="Z6" s="50">
        <f t="shared" si="6"/>
        <v>38</v>
      </c>
      <c r="AA6" s="50">
        <v>1.8</v>
      </c>
      <c r="AB6" s="50">
        <f t="shared" si="7"/>
        <v>1.8</v>
      </c>
      <c r="AC6" s="50">
        <v>108</v>
      </c>
      <c r="AD6" s="50">
        <f t="shared" si="8"/>
        <v>108</v>
      </c>
    </row>
    <row r="7" spans="1:31" ht="16" x14ac:dyDescent="0.2">
      <c r="A7" s="56">
        <v>1</v>
      </c>
      <c r="B7" s="56" t="s">
        <v>219</v>
      </c>
      <c r="C7" s="56" t="s">
        <v>159</v>
      </c>
      <c r="D7" s="60" t="s">
        <v>44</v>
      </c>
      <c r="E7" s="58" t="s">
        <v>428</v>
      </c>
      <c r="F7" s="56" t="s">
        <v>72</v>
      </c>
      <c r="G7" s="56">
        <v>1</v>
      </c>
      <c r="H7" s="56" t="s">
        <v>66</v>
      </c>
      <c r="I7" s="69">
        <v>100</v>
      </c>
      <c r="J7" s="69">
        <v>0.01</v>
      </c>
      <c r="K7" s="69"/>
      <c r="L7" s="69">
        <f t="shared" si="0"/>
        <v>0.01</v>
      </c>
      <c r="M7" s="69">
        <f>I7*L7</f>
        <v>1</v>
      </c>
      <c r="N7" s="61"/>
      <c r="O7" s="56">
        <v>2</v>
      </c>
      <c r="P7" s="56">
        <f t="shared" si="1"/>
        <v>0.02</v>
      </c>
      <c r="Q7" s="56">
        <v>0.24</v>
      </c>
      <c r="R7" s="56">
        <f t="shared" si="2"/>
        <v>2.3999999999999998E-3</v>
      </c>
      <c r="S7" s="56">
        <v>0.26</v>
      </c>
      <c r="T7" s="56">
        <f t="shared" si="3"/>
        <v>2.5999999999999999E-3</v>
      </c>
      <c r="U7" s="59">
        <v>0.06</v>
      </c>
      <c r="V7" s="56">
        <f t="shared" si="4"/>
        <v>5.9999999999999995E-4</v>
      </c>
      <c r="W7" s="50">
        <v>0.23</v>
      </c>
      <c r="X7" s="50">
        <f t="shared" si="5"/>
        <v>2.3E-3</v>
      </c>
      <c r="Y7" s="50">
        <v>9.8000000000000007</v>
      </c>
      <c r="Z7" s="50">
        <f t="shared" si="6"/>
        <v>9.8000000000000004E-2</v>
      </c>
      <c r="AA7" s="50">
        <v>0.2</v>
      </c>
      <c r="AB7" s="50">
        <f t="shared" si="7"/>
        <v>2E-3</v>
      </c>
      <c r="AC7" s="50">
        <v>2.8</v>
      </c>
      <c r="AD7" s="50">
        <f t="shared" si="8"/>
        <v>2.7999999999999997E-2</v>
      </c>
    </row>
    <row r="8" spans="1:31" ht="16" customHeight="1" x14ac:dyDescent="0.2">
      <c r="A8" s="56">
        <v>1</v>
      </c>
      <c r="B8" s="56" t="s">
        <v>219</v>
      </c>
      <c r="C8" s="56" t="s">
        <v>159</v>
      </c>
      <c r="D8" s="60" t="s">
        <v>97</v>
      </c>
      <c r="E8" s="58" t="s">
        <v>23</v>
      </c>
      <c r="F8" s="56" t="s">
        <v>429</v>
      </c>
      <c r="G8" s="56">
        <v>1</v>
      </c>
      <c r="H8" s="56" t="s">
        <v>113</v>
      </c>
      <c r="I8" s="69">
        <v>5</v>
      </c>
      <c r="J8" s="69">
        <v>2</v>
      </c>
      <c r="K8" s="69"/>
      <c r="L8" s="69">
        <f t="shared" si="0"/>
        <v>2</v>
      </c>
      <c r="M8" s="69">
        <f>I8*L8</f>
        <v>10</v>
      </c>
      <c r="N8" s="61"/>
      <c r="O8" s="56">
        <v>51</v>
      </c>
      <c r="P8" s="56">
        <f t="shared" si="1"/>
        <v>102</v>
      </c>
      <c r="Q8" s="56">
        <v>2</v>
      </c>
      <c r="R8" s="56">
        <f t="shared" si="2"/>
        <v>4</v>
      </c>
      <c r="S8" s="56">
        <v>1.5</v>
      </c>
      <c r="T8" s="56">
        <f t="shared" si="3"/>
        <v>3</v>
      </c>
      <c r="U8" s="59">
        <v>4.0999999999999996</v>
      </c>
      <c r="V8" s="56">
        <f t="shared" si="4"/>
        <v>8.1999999999999993</v>
      </c>
      <c r="W8" s="50">
        <v>0.5</v>
      </c>
      <c r="X8" s="50">
        <f t="shared" si="5"/>
        <v>1</v>
      </c>
      <c r="Y8" s="50">
        <v>3</v>
      </c>
      <c r="Z8" s="50">
        <f t="shared" si="6"/>
        <v>6</v>
      </c>
      <c r="AA8" s="50">
        <v>0.1</v>
      </c>
      <c r="AB8" s="50">
        <f t="shared" si="7"/>
        <v>0.2</v>
      </c>
      <c r="AC8" s="50">
        <v>37</v>
      </c>
      <c r="AD8" s="50">
        <f t="shared" si="8"/>
        <v>74</v>
      </c>
    </row>
    <row r="9" spans="1:31" ht="16" customHeight="1" x14ac:dyDescent="0.2">
      <c r="A9" s="56">
        <v>1</v>
      </c>
      <c r="B9" s="56" t="s">
        <v>219</v>
      </c>
      <c r="C9" s="56" t="s">
        <v>159</v>
      </c>
      <c r="D9" s="58" t="s">
        <v>17</v>
      </c>
      <c r="E9" s="58" t="s">
        <v>18</v>
      </c>
      <c r="F9" s="56" t="s">
        <v>19</v>
      </c>
      <c r="G9" s="56">
        <v>9</v>
      </c>
      <c r="H9" s="56" t="s">
        <v>20</v>
      </c>
      <c r="I9" s="69">
        <v>161</v>
      </c>
      <c r="J9" s="69">
        <v>0.5</v>
      </c>
      <c r="K9" s="69"/>
      <c r="L9" s="69">
        <f t="shared" si="0"/>
        <v>0.5</v>
      </c>
      <c r="M9" s="69">
        <f>L9*I9</f>
        <v>80.5</v>
      </c>
      <c r="N9" s="61"/>
      <c r="O9" s="56">
        <v>55</v>
      </c>
      <c r="P9" s="56">
        <f t="shared" si="1"/>
        <v>27.5</v>
      </c>
      <c r="Q9" s="56">
        <v>1.3</v>
      </c>
      <c r="R9" s="56">
        <f t="shared" si="2"/>
        <v>0.65</v>
      </c>
      <c r="S9" s="56">
        <v>11.1</v>
      </c>
      <c r="T9" s="56">
        <f t="shared" si="3"/>
        <v>5.55</v>
      </c>
      <c r="U9" s="59">
        <v>0.6</v>
      </c>
      <c r="V9" s="56">
        <f t="shared" si="4"/>
        <v>0.3</v>
      </c>
      <c r="W9" s="50">
        <v>3.7</v>
      </c>
      <c r="X9" s="50">
        <f t="shared" si="5"/>
        <v>1.85</v>
      </c>
      <c r="Y9" s="50">
        <v>45</v>
      </c>
      <c r="Z9" s="50">
        <f t="shared" si="6"/>
        <v>22.5</v>
      </c>
      <c r="AA9" s="50">
        <v>1.3</v>
      </c>
      <c r="AB9" s="50">
        <f t="shared" si="7"/>
        <v>0.65</v>
      </c>
      <c r="AC9" s="50">
        <v>2</v>
      </c>
      <c r="AD9" s="50">
        <f t="shared" si="8"/>
        <v>1</v>
      </c>
    </row>
    <row r="10" spans="1:31" ht="16" customHeight="1" x14ac:dyDescent="0.2">
      <c r="A10" s="56">
        <v>1</v>
      </c>
      <c r="B10" s="56" t="s">
        <v>219</v>
      </c>
      <c r="C10" s="56" t="s">
        <v>159</v>
      </c>
      <c r="D10" s="60" t="s">
        <v>97</v>
      </c>
      <c r="E10" s="58" t="s">
        <v>410</v>
      </c>
      <c r="F10" s="56" t="s">
        <v>108</v>
      </c>
      <c r="G10" s="56">
        <v>1</v>
      </c>
      <c r="H10" s="56" t="s">
        <v>109</v>
      </c>
      <c r="I10" s="69">
        <v>50</v>
      </c>
      <c r="J10" s="69">
        <v>1</v>
      </c>
      <c r="K10" s="69"/>
      <c r="L10" s="69">
        <f t="shared" si="0"/>
        <v>1</v>
      </c>
      <c r="M10" s="69">
        <f t="shared" ref="M10:M38" si="9">I10*L10</f>
        <v>50</v>
      </c>
      <c r="N10" s="61"/>
      <c r="O10" s="56"/>
      <c r="P10" s="56">
        <f t="shared" si="1"/>
        <v>0</v>
      </c>
      <c r="Q10" s="56"/>
      <c r="R10" s="56">
        <f t="shared" si="2"/>
        <v>0</v>
      </c>
      <c r="S10" s="56"/>
      <c r="T10" s="56">
        <f t="shared" si="3"/>
        <v>0</v>
      </c>
      <c r="U10" s="59"/>
      <c r="V10" s="56">
        <f t="shared" si="4"/>
        <v>0</v>
      </c>
      <c r="W10" s="50"/>
      <c r="X10" s="50">
        <f t="shared" si="5"/>
        <v>0</v>
      </c>
      <c r="Y10" s="50"/>
      <c r="Z10" s="50">
        <f t="shared" si="6"/>
        <v>0</v>
      </c>
      <c r="AA10" s="50"/>
      <c r="AB10" s="50">
        <f t="shared" si="7"/>
        <v>0</v>
      </c>
      <c r="AC10" s="50"/>
      <c r="AD10" s="50">
        <f t="shared" si="8"/>
        <v>0</v>
      </c>
    </row>
    <row r="11" spans="1:31" ht="16" customHeight="1" x14ac:dyDescent="0.2">
      <c r="A11" s="56">
        <v>1</v>
      </c>
      <c r="B11" s="56" t="s">
        <v>219</v>
      </c>
      <c r="C11" s="56" t="s">
        <v>159</v>
      </c>
      <c r="D11" s="58" t="s">
        <v>17</v>
      </c>
      <c r="E11" s="58" t="s">
        <v>406</v>
      </c>
      <c r="F11" s="56" t="s">
        <v>37</v>
      </c>
      <c r="G11" s="56">
        <v>1</v>
      </c>
      <c r="H11" s="56" t="s">
        <v>29</v>
      </c>
      <c r="I11" s="69">
        <v>50</v>
      </c>
      <c r="J11" s="69">
        <v>2</v>
      </c>
      <c r="K11" s="69"/>
      <c r="L11" s="69">
        <f t="shared" si="0"/>
        <v>2</v>
      </c>
      <c r="M11" s="69">
        <f t="shared" si="9"/>
        <v>100</v>
      </c>
      <c r="N11" s="61" t="s">
        <v>430</v>
      </c>
      <c r="O11" s="56">
        <v>99.5</v>
      </c>
      <c r="P11" s="56">
        <f t="shared" si="1"/>
        <v>199</v>
      </c>
      <c r="Q11" s="56">
        <v>6.75</v>
      </c>
      <c r="R11" s="56">
        <f t="shared" si="2"/>
        <v>13.5</v>
      </c>
      <c r="S11" s="56">
        <v>0.7</v>
      </c>
      <c r="T11" s="56">
        <f t="shared" si="3"/>
        <v>1.4</v>
      </c>
      <c r="U11" s="59">
        <v>7.5</v>
      </c>
      <c r="V11" s="56">
        <f t="shared" si="4"/>
        <v>15</v>
      </c>
      <c r="W11" s="50">
        <v>0</v>
      </c>
      <c r="X11" s="50">
        <f t="shared" si="5"/>
        <v>0</v>
      </c>
      <c r="Y11" s="50">
        <v>27.5</v>
      </c>
      <c r="Z11" s="50">
        <f t="shared" si="6"/>
        <v>55</v>
      </c>
      <c r="AA11" s="50">
        <v>0.8</v>
      </c>
      <c r="AB11" s="50">
        <f t="shared" si="7"/>
        <v>1.6</v>
      </c>
      <c r="AC11" s="50">
        <v>176.5</v>
      </c>
      <c r="AD11" s="50">
        <f t="shared" si="8"/>
        <v>353</v>
      </c>
    </row>
    <row r="12" spans="1:31" ht="16" customHeight="1" x14ac:dyDescent="0.2">
      <c r="A12" s="56">
        <v>1</v>
      </c>
      <c r="B12" s="56" t="s">
        <v>219</v>
      </c>
      <c r="C12" s="56" t="s">
        <v>159</v>
      </c>
      <c r="D12" s="60" t="s">
        <v>44</v>
      </c>
      <c r="E12" s="58" t="s">
        <v>418</v>
      </c>
      <c r="F12" s="56" t="s">
        <v>57</v>
      </c>
      <c r="G12" s="56">
        <v>1</v>
      </c>
      <c r="H12" s="56" t="s">
        <v>58</v>
      </c>
      <c r="I12" s="69">
        <v>100</v>
      </c>
      <c r="J12" s="69">
        <v>0.1</v>
      </c>
      <c r="K12" s="69"/>
      <c r="L12" s="69">
        <f t="shared" si="0"/>
        <v>0.1</v>
      </c>
      <c r="M12" s="69">
        <f t="shared" si="9"/>
        <v>10</v>
      </c>
      <c r="N12" s="61" t="s">
        <v>433</v>
      </c>
      <c r="O12" s="56">
        <v>1.8</v>
      </c>
      <c r="P12" s="56">
        <f t="shared" si="1"/>
        <v>0.18</v>
      </c>
      <c r="Q12" s="56">
        <v>0.13</v>
      </c>
      <c r="R12" s="56">
        <f t="shared" si="2"/>
        <v>1.3000000000000001E-2</v>
      </c>
      <c r="S12" s="56">
        <v>0.35</v>
      </c>
      <c r="T12" s="56">
        <f t="shared" si="3"/>
        <v>3.5000000000000003E-2</v>
      </c>
      <c r="U12" s="59">
        <v>0.03</v>
      </c>
      <c r="V12" s="56">
        <f t="shared" si="4"/>
        <v>3.0000000000000001E-3</v>
      </c>
      <c r="W12" s="50">
        <v>0.19</v>
      </c>
      <c r="X12" s="50">
        <f t="shared" si="5"/>
        <v>1.9E-2</v>
      </c>
      <c r="Y12" s="50">
        <v>0.68</v>
      </c>
      <c r="Z12" s="50">
        <f t="shared" si="6"/>
        <v>6.8000000000000005E-2</v>
      </c>
      <c r="AA12" s="50">
        <v>0.14000000000000001</v>
      </c>
      <c r="AB12" s="50">
        <f t="shared" si="7"/>
        <v>1.4000000000000002E-2</v>
      </c>
      <c r="AC12" s="50">
        <v>0.8</v>
      </c>
      <c r="AD12" s="50">
        <f t="shared" si="8"/>
        <v>0.08</v>
      </c>
    </row>
    <row r="13" spans="1:31" ht="16" customHeight="1" x14ac:dyDescent="0.2">
      <c r="A13" s="56">
        <v>1</v>
      </c>
      <c r="B13" s="56" t="s">
        <v>219</v>
      </c>
      <c r="C13" s="56" t="s">
        <v>159</v>
      </c>
      <c r="D13" s="60" t="s">
        <v>97</v>
      </c>
      <c r="E13" s="58" t="s">
        <v>18</v>
      </c>
      <c r="F13" s="56" t="s">
        <v>104</v>
      </c>
      <c r="G13" s="56">
        <v>1</v>
      </c>
      <c r="H13" s="56" t="s">
        <v>46</v>
      </c>
      <c r="I13" s="69">
        <v>112</v>
      </c>
      <c r="J13" s="69">
        <v>1</v>
      </c>
      <c r="K13" s="69"/>
      <c r="L13" s="69">
        <f t="shared" si="0"/>
        <v>1</v>
      </c>
      <c r="M13" s="69">
        <f t="shared" si="9"/>
        <v>112</v>
      </c>
      <c r="N13" s="61"/>
      <c r="O13" s="56">
        <v>81</v>
      </c>
      <c r="P13" s="56">
        <f t="shared" si="1"/>
        <v>81</v>
      </c>
      <c r="Q13" s="56">
        <v>0.6</v>
      </c>
      <c r="R13" s="56">
        <f t="shared" si="2"/>
        <v>0.6</v>
      </c>
      <c r="S13" s="56">
        <v>19</v>
      </c>
      <c r="T13" s="56">
        <f t="shared" si="3"/>
        <v>19</v>
      </c>
      <c r="U13" s="59">
        <v>0.3</v>
      </c>
      <c r="V13" s="56">
        <f t="shared" si="4"/>
        <v>0.3</v>
      </c>
      <c r="W13" s="50">
        <v>2</v>
      </c>
      <c r="X13" s="50">
        <f t="shared" si="5"/>
        <v>2</v>
      </c>
      <c r="Y13" s="50">
        <v>11</v>
      </c>
      <c r="Z13" s="50">
        <f t="shared" si="6"/>
        <v>11</v>
      </c>
      <c r="AA13" s="50">
        <v>0.1</v>
      </c>
      <c r="AB13" s="50">
        <f t="shared" si="7"/>
        <v>0.1</v>
      </c>
      <c r="AC13" s="50">
        <v>2</v>
      </c>
      <c r="AD13" s="50">
        <f t="shared" si="8"/>
        <v>2</v>
      </c>
    </row>
    <row r="14" spans="1:31" ht="16" x14ac:dyDescent="0.2">
      <c r="A14" s="56">
        <v>1</v>
      </c>
      <c r="B14" s="56" t="s">
        <v>219</v>
      </c>
      <c r="C14" s="56" t="s">
        <v>159</v>
      </c>
      <c r="D14" s="58" t="s">
        <v>17</v>
      </c>
      <c r="E14" s="60" t="s">
        <v>410</v>
      </c>
      <c r="F14" s="56" t="s">
        <v>40</v>
      </c>
      <c r="G14" s="56">
        <v>1</v>
      </c>
      <c r="H14" s="56" t="s">
        <v>41</v>
      </c>
      <c r="I14" s="69">
        <v>32</v>
      </c>
      <c r="J14" s="69">
        <v>1</v>
      </c>
      <c r="K14" s="69"/>
      <c r="L14" s="69">
        <f t="shared" si="0"/>
        <v>1</v>
      </c>
      <c r="M14" s="69">
        <f t="shared" si="9"/>
        <v>32</v>
      </c>
      <c r="N14" s="61"/>
      <c r="O14" s="56">
        <v>84</v>
      </c>
      <c r="P14" s="56">
        <f t="shared" si="1"/>
        <v>84</v>
      </c>
      <c r="Q14" s="56">
        <v>3.1</v>
      </c>
      <c r="R14" s="56">
        <f t="shared" si="2"/>
        <v>3.1</v>
      </c>
      <c r="S14" s="56">
        <v>14.8</v>
      </c>
      <c r="T14" s="56">
        <f t="shared" si="3"/>
        <v>14.8</v>
      </c>
      <c r="U14" s="59">
        <v>1.3</v>
      </c>
      <c r="V14" s="56">
        <f t="shared" si="4"/>
        <v>1.3</v>
      </c>
      <c r="W14" s="50">
        <v>2.2000000000000002</v>
      </c>
      <c r="X14" s="50">
        <f t="shared" si="5"/>
        <v>2.2000000000000002</v>
      </c>
      <c r="Y14" s="50">
        <v>23</v>
      </c>
      <c r="Z14" s="50">
        <f t="shared" si="6"/>
        <v>23</v>
      </c>
      <c r="AA14" s="50">
        <v>1.1000000000000001</v>
      </c>
      <c r="AB14" s="50">
        <f t="shared" si="7"/>
        <v>1.1000000000000001</v>
      </c>
      <c r="AC14" s="50">
        <v>169</v>
      </c>
      <c r="AD14" s="50">
        <f t="shared" si="8"/>
        <v>169</v>
      </c>
    </row>
    <row r="15" spans="1:31" ht="16" x14ac:dyDescent="0.2">
      <c r="A15" s="56">
        <v>1</v>
      </c>
      <c r="B15" s="56" t="s">
        <v>219</v>
      </c>
      <c r="C15" s="56" t="s">
        <v>159</v>
      </c>
      <c r="D15" s="60" t="s">
        <v>74</v>
      </c>
      <c r="E15" s="60" t="s">
        <v>410</v>
      </c>
      <c r="F15" s="56" t="s">
        <v>40</v>
      </c>
      <c r="G15" s="56">
        <v>1</v>
      </c>
      <c r="H15" s="56" t="s">
        <v>41</v>
      </c>
      <c r="I15" s="69">
        <v>65</v>
      </c>
      <c r="J15" s="69">
        <v>1</v>
      </c>
      <c r="K15" s="69"/>
      <c r="L15" s="69">
        <f t="shared" si="0"/>
        <v>1</v>
      </c>
      <c r="M15" s="69">
        <f t="shared" si="9"/>
        <v>65</v>
      </c>
      <c r="N15" s="61"/>
      <c r="O15" s="56">
        <v>84</v>
      </c>
      <c r="P15" s="56">
        <f t="shared" si="1"/>
        <v>84</v>
      </c>
      <c r="Q15" s="56">
        <v>3.1</v>
      </c>
      <c r="R15" s="56">
        <f t="shared" si="2"/>
        <v>3.1</v>
      </c>
      <c r="S15" s="56">
        <v>14.8</v>
      </c>
      <c r="T15" s="56">
        <f t="shared" si="3"/>
        <v>14.8</v>
      </c>
      <c r="U15" s="59">
        <v>1.3</v>
      </c>
      <c r="V15" s="56">
        <f t="shared" si="4"/>
        <v>1.3</v>
      </c>
      <c r="W15" s="50">
        <v>2.2000000000000002</v>
      </c>
      <c r="X15" s="50">
        <f t="shared" si="5"/>
        <v>2.2000000000000002</v>
      </c>
      <c r="Y15" s="50">
        <v>23</v>
      </c>
      <c r="Z15" s="50">
        <f t="shared" si="6"/>
        <v>23</v>
      </c>
      <c r="AA15" s="50">
        <v>1.1000000000000001</v>
      </c>
      <c r="AB15" s="50">
        <f t="shared" si="7"/>
        <v>1.1000000000000001</v>
      </c>
      <c r="AC15" s="50">
        <v>169</v>
      </c>
      <c r="AD15" s="50">
        <f t="shared" si="8"/>
        <v>169</v>
      </c>
    </row>
    <row r="16" spans="1:31" ht="16" x14ac:dyDescent="0.2">
      <c r="A16" s="56">
        <v>1</v>
      </c>
      <c r="B16" s="56" t="s">
        <v>219</v>
      </c>
      <c r="C16" s="56" t="s">
        <v>159</v>
      </c>
      <c r="D16" s="60" t="s">
        <v>74</v>
      </c>
      <c r="E16" s="58" t="s">
        <v>422</v>
      </c>
      <c r="F16" s="56" t="s">
        <v>95</v>
      </c>
      <c r="G16" s="56">
        <v>1</v>
      </c>
      <c r="H16" s="56" t="s">
        <v>221</v>
      </c>
      <c r="I16" s="69">
        <v>10</v>
      </c>
      <c r="J16" s="69">
        <v>1</v>
      </c>
      <c r="K16" s="69"/>
      <c r="L16" s="69">
        <f t="shared" si="0"/>
        <v>1</v>
      </c>
      <c r="M16" s="69">
        <f t="shared" si="9"/>
        <v>10</v>
      </c>
      <c r="N16" s="61"/>
      <c r="O16" s="56">
        <v>90</v>
      </c>
      <c r="P16" s="56">
        <f t="shared" si="1"/>
        <v>90</v>
      </c>
      <c r="Q16" s="56">
        <v>0.1</v>
      </c>
      <c r="R16" s="56">
        <f t="shared" si="2"/>
        <v>0.1</v>
      </c>
      <c r="S16" s="56">
        <v>22.4</v>
      </c>
      <c r="T16" s="56">
        <f t="shared" si="3"/>
        <v>22.4</v>
      </c>
      <c r="U16" s="59">
        <v>0</v>
      </c>
      <c r="V16" s="56">
        <f t="shared" si="4"/>
        <v>0</v>
      </c>
      <c r="W16" s="50">
        <v>0</v>
      </c>
      <c r="X16" s="50">
        <f t="shared" si="5"/>
        <v>0</v>
      </c>
      <c r="Y16" s="50">
        <v>21</v>
      </c>
      <c r="Z16" s="50">
        <f t="shared" si="6"/>
        <v>21</v>
      </c>
      <c r="AA16" s="50">
        <v>0.6</v>
      </c>
      <c r="AB16" s="50">
        <f t="shared" si="7"/>
        <v>0.6</v>
      </c>
      <c r="AC16" s="50">
        <v>10</v>
      </c>
      <c r="AD16" s="50">
        <f t="shared" si="8"/>
        <v>10</v>
      </c>
    </row>
    <row r="17" spans="1:30" ht="16" x14ac:dyDescent="0.2">
      <c r="A17" s="56">
        <v>1</v>
      </c>
      <c r="B17" s="56" t="s">
        <v>219</v>
      </c>
      <c r="C17" s="56" t="s">
        <v>159</v>
      </c>
      <c r="D17" s="60" t="s">
        <v>74</v>
      </c>
      <c r="E17" s="60" t="s">
        <v>410</v>
      </c>
      <c r="F17" s="56" t="s">
        <v>82</v>
      </c>
      <c r="G17" s="56">
        <v>2</v>
      </c>
      <c r="H17" s="56" t="s">
        <v>34</v>
      </c>
      <c r="I17" s="69">
        <v>83</v>
      </c>
      <c r="J17" s="69">
        <v>2</v>
      </c>
      <c r="K17" s="69"/>
      <c r="L17" s="69">
        <f t="shared" si="0"/>
        <v>2</v>
      </c>
      <c r="M17" s="69">
        <f t="shared" si="9"/>
        <v>166</v>
      </c>
      <c r="N17" s="61" t="s">
        <v>415</v>
      </c>
      <c r="O17" s="56">
        <v>73</v>
      </c>
      <c r="P17" s="56">
        <f t="shared" si="1"/>
        <v>146</v>
      </c>
      <c r="Q17" s="56">
        <v>1.4</v>
      </c>
      <c r="R17" s="56">
        <f t="shared" si="2"/>
        <v>2.8</v>
      </c>
      <c r="S17" s="56">
        <v>16.600000000000001</v>
      </c>
      <c r="T17" s="56">
        <f t="shared" si="3"/>
        <v>33.200000000000003</v>
      </c>
      <c r="U17" s="59">
        <v>0.1</v>
      </c>
      <c r="V17" s="56">
        <f t="shared" si="4"/>
        <v>0.2</v>
      </c>
      <c r="W17" s="50">
        <v>1.5</v>
      </c>
      <c r="X17" s="50">
        <f t="shared" si="5"/>
        <v>3</v>
      </c>
      <c r="Y17" s="50">
        <v>7</v>
      </c>
      <c r="Z17" s="50">
        <f t="shared" si="6"/>
        <v>14</v>
      </c>
      <c r="AA17" s="50">
        <v>0.2</v>
      </c>
      <c r="AB17" s="50">
        <f t="shared" si="7"/>
        <v>0.4</v>
      </c>
      <c r="AC17" s="50">
        <v>4</v>
      </c>
      <c r="AD17" s="50">
        <f t="shared" si="8"/>
        <v>8</v>
      </c>
    </row>
    <row r="18" spans="1:30" ht="16" x14ac:dyDescent="0.2">
      <c r="A18" s="56">
        <v>1</v>
      </c>
      <c r="B18" s="56" t="s">
        <v>219</v>
      </c>
      <c r="C18" s="56" t="s">
        <v>159</v>
      </c>
      <c r="D18" s="60" t="s">
        <v>44</v>
      </c>
      <c r="E18" s="60" t="s">
        <v>410</v>
      </c>
      <c r="F18" s="56" t="s">
        <v>54</v>
      </c>
      <c r="G18" s="56">
        <v>5</v>
      </c>
      <c r="H18" s="56" t="s">
        <v>55</v>
      </c>
      <c r="I18" s="69">
        <v>105</v>
      </c>
      <c r="J18" s="69">
        <v>1</v>
      </c>
      <c r="K18" s="69"/>
      <c r="L18" s="69">
        <f>IF(J18=0,(K18/G18),J18)</f>
        <v>1</v>
      </c>
      <c r="M18" s="69">
        <f t="shared" si="9"/>
        <v>105</v>
      </c>
      <c r="N18" s="61"/>
      <c r="O18" s="56">
        <v>93</v>
      </c>
      <c r="P18" s="56">
        <f t="shared" si="1"/>
        <v>93</v>
      </c>
      <c r="Q18" s="56">
        <v>2.7</v>
      </c>
      <c r="R18" s="56">
        <f t="shared" si="2"/>
        <v>2.7</v>
      </c>
      <c r="S18" s="56">
        <v>20.2</v>
      </c>
      <c r="T18" s="56">
        <f t="shared" si="3"/>
        <v>20.2</v>
      </c>
      <c r="U18" s="59">
        <v>0.1</v>
      </c>
      <c r="V18" s="56">
        <f t="shared" si="4"/>
        <v>0.1</v>
      </c>
      <c r="W18" s="50">
        <v>1.7</v>
      </c>
      <c r="X18" s="50">
        <f t="shared" si="5"/>
        <v>1.7</v>
      </c>
      <c r="Y18" s="50">
        <v>8</v>
      </c>
      <c r="Z18" s="50">
        <f t="shared" si="6"/>
        <v>8</v>
      </c>
      <c r="AA18" s="50">
        <v>0.6</v>
      </c>
      <c r="AB18" s="50">
        <f t="shared" si="7"/>
        <v>0.6</v>
      </c>
      <c r="AC18" s="50">
        <v>6</v>
      </c>
      <c r="AD18" s="50">
        <f t="shared" si="8"/>
        <v>6</v>
      </c>
    </row>
    <row r="19" spans="1:30" ht="16" x14ac:dyDescent="0.2">
      <c r="A19" s="56">
        <v>1</v>
      </c>
      <c r="B19" s="56" t="s">
        <v>219</v>
      </c>
      <c r="C19" s="56" t="s">
        <v>159</v>
      </c>
      <c r="D19" s="60" t="s">
        <v>44</v>
      </c>
      <c r="E19" s="58" t="s">
        <v>36</v>
      </c>
      <c r="F19" s="56" t="s">
        <v>45</v>
      </c>
      <c r="G19" s="56">
        <v>1</v>
      </c>
      <c r="H19" s="56" t="s">
        <v>46</v>
      </c>
      <c r="I19" s="69">
        <v>80</v>
      </c>
      <c r="J19" s="69">
        <v>1</v>
      </c>
      <c r="K19" s="69"/>
      <c r="L19" s="69">
        <f t="shared" si="0"/>
        <v>1</v>
      </c>
      <c r="M19" s="69">
        <f t="shared" si="9"/>
        <v>80</v>
      </c>
      <c r="N19" s="61"/>
      <c r="O19" s="56">
        <v>83</v>
      </c>
      <c r="P19" s="56">
        <f t="shared" si="1"/>
        <v>83</v>
      </c>
      <c r="Q19" s="56">
        <v>18.5</v>
      </c>
      <c r="R19" s="56">
        <f t="shared" si="2"/>
        <v>18.5</v>
      </c>
      <c r="S19" s="56">
        <v>0</v>
      </c>
      <c r="T19" s="56">
        <f t="shared" si="3"/>
        <v>0</v>
      </c>
      <c r="U19" s="59">
        <v>1</v>
      </c>
      <c r="V19" s="56">
        <f t="shared" si="4"/>
        <v>1</v>
      </c>
      <c r="W19" s="50">
        <v>0</v>
      </c>
      <c r="X19" s="50">
        <f t="shared" si="5"/>
        <v>0</v>
      </c>
      <c r="Y19" s="50">
        <v>9</v>
      </c>
      <c r="Z19" s="50">
        <f t="shared" si="6"/>
        <v>9</v>
      </c>
      <c r="AA19" s="50">
        <v>0.6</v>
      </c>
      <c r="AB19" s="50">
        <f t="shared" si="7"/>
        <v>0.6</v>
      </c>
      <c r="AC19" s="50">
        <v>52</v>
      </c>
      <c r="AD19" s="50">
        <f t="shared" si="8"/>
        <v>52</v>
      </c>
    </row>
    <row r="20" spans="1:30" ht="16" x14ac:dyDescent="0.2">
      <c r="A20" s="56">
        <v>1</v>
      </c>
      <c r="B20" s="56" t="s">
        <v>219</v>
      </c>
      <c r="C20" s="56" t="s">
        <v>159</v>
      </c>
      <c r="D20" s="60" t="s">
        <v>74</v>
      </c>
      <c r="E20" s="58" t="s">
        <v>428</v>
      </c>
      <c r="F20" s="56" t="s">
        <v>89</v>
      </c>
      <c r="G20" s="56">
        <v>1</v>
      </c>
      <c r="H20" s="56" t="s">
        <v>90</v>
      </c>
      <c r="I20" s="69">
        <v>100</v>
      </c>
      <c r="J20" s="69">
        <v>0.01</v>
      </c>
      <c r="K20" s="69"/>
      <c r="L20" s="69">
        <f t="shared" si="0"/>
        <v>0.01</v>
      </c>
      <c r="M20" s="69">
        <f t="shared" si="9"/>
        <v>1</v>
      </c>
      <c r="N20" s="61"/>
      <c r="O20" s="56">
        <v>2.76</v>
      </c>
      <c r="P20" s="56">
        <f t="shared" si="1"/>
        <v>2.76E-2</v>
      </c>
      <c r="Q20" s="56">
        <v>0.224</v>
      </c>
      <c r="R20" s="56">
        <f t="shared" si="2"/>
        <v>2.2400000000000002E-3</v>
      </c>
      <c r="S20" s="56">
        <v>0.51700000000000002</v>
      </c>
      <c r="T20" s="56">
        <f t="shared" si="3"/>
        <v>5.1700000000000001E-3</v>
      </c>
      <c r="U20" s="59">
        <v>4.3999999999999997E-2</v>
      </c>
      <c r="V20" s="56">
        <f t="shared" si="4"/>
        <v>4.3999999999999996E-4</v>
      </c>
      <c r="W20" s="50">
        <v>0.30399999999999999</v>
      </c>
      <c r="X20" s="50">
        <f t="shared" si="5"/>
        <v>3.0399999999999997E-3</v>
      </c>
      <c r="Y20" s="50">
        <v>14.68</v>
      </c>
      <c r="Z20" s="50">
        <f t="shared" si="6"/>
        <v>0.14679999999999999</v>
      </c>
      <c r="AA20" s="50">
        <v>0.97899999999999998</v>
      </c>
      <c r="AB20" s="50">
        <f t="shared" si="7"/>
        <v>9.7900000000000001E-3</v>
      </c>
      <c r="AC20" s="50">
        <v>4.5199999999999996</v>
      </c>
      <c r="AD20" s="50">
        <f t="shared" si="8"/>
        <v>4.5199999999999997E-2</v>
      </c>
    </row>
    <row r="21" spans="1:30" ht="16" x14ac:dyDescent="0.2">
      <c r="A21" s="56">
        <v>1</v>
      </c>
      <c r="B21" s="56" t="s">
        <v>219</v>
      </c>
      <c r="C21" s="56" t="s">
        <v>159</v>
      </c>
      <c r="D21" s="58" t="s">
        <v>17</v>
      </c>
      <c r="E21" s="60" t="s">
        <v>406</v>
      </c>
      <c r="F21" s="63" t="s">
        <v>240</v>
      </c>
      <c r="G21" s="56">
        <v>1</v>
      </c>
      <c r="H21" s="56" t="s">
        <v>25</v>
      </c>
      <c r="I21" s="69">
        <v>20</v>
      </c>
      <c r="J21" s="69">
        <v>1</v>
      </c>
      <c r="K21" s="69"/>
      <c r="L21" s="69">
        <f t="shared" si="0"/>
        <v>1</v>
      </c>
      <c r="M21" s="69">
        <f t="shared" si="9"/>
        <v>20</v>
      </c>
      <c r="N21" s="61"/>
      <c r="O21" s="56">
        <v>83</v>
      </c>
      <c r="P21" s="56">
        <f t="shared" si="1"/>
        <v>83</v>
      </c>
      <c r="Q21" s="56">
        <v>6.5</v>
      </c>
      <c r="R21" s="56">
        <f t="shared" si="2"/>
        <v>6.5</v>
      </c>
      <c r="S21" s="56">
        <v>1.5</v>
      </c>
      <c r="T21" s="56">
        <f t="shared" si="3"/>
        <v>1.5</v>
      </c>
      <c r="U21" s="59">
        <v>5.7</v>
      </c>
      <c r="V21" s="56">
        <f t="shared" si="4"/>
        <v>5.7</v>
      </c>
      <c r="W21" s="50">
        <v>0</v>
      </c>
      <c r="X21" s="50">
        <f t="shared" si="5"/>
        <v>0</v>
      </c>
      <c r="Y21" s="50">
        <v>207</v>
      </c>
      <c r="Z21" s="50">
        <f t="shared" si="6"/>
        <v>207</v>
      </c>
      <c r="AA21" s="50">
        <v>0.2</v>
      </c>
      <c r="AB21" s="50">
        <f t="shared" si="7"/>
        <v>0.2</v>
      </c>
      <c r="AC21" s="50">
        <v>112</v>
      </c>
      <c r="AD21" s="50">
        <f t="shared" si="8"/>
        <v>112</v>
      </c>
    </row>
    <row r="22" spans="1:30" ht="16" x14ac:dyDescent="0.2">
      <c r="A22" s="56">
        <v>1</v>
      </c>
      <c r="B22" s="56" t="s">
        <v>219</v>
      </c>
      <c r="C22" s="56" t="s">
        <v>159</v>
      </c>
      <c r="D22" s="60" t="s">
        <v>44</v>
      </c>
      <c r="E22" s="58" t="s">
        <v>418</v>
      </c>
      <c r="F22" s="56" t="s">
        <v>49</v>
      </c>
      <c r="G22" s="56">
        <v>8</v>
      </c>
      <c r="H22" s="56" t="s">
        <v>12</v>
      </c>
      <c r="I22" s="69">
        <v>60</v>
      </c>
      <c r="J22" s="69">
        <v>0.5</v>
      </c>
      <c r="K22" s="69"/>
      <c r="L22" s="69">
        <f t="shared" si="0"/>
        <v>0.5</v>
      </c>
      <c r="M22" s="69">
        <f t="shared" si="9"/>
        <v>30</v>
      </c>
      <c r="N22" s="61"/>
      <c r="O22" s="56"/>
      <c r="P22" s="56">
        <f t="shared" si="1"/>
        <v>0</v>
      </c>
      <c r="Q22" s="56"/>
      <c r="R22" s="56">
        <f t="shared" si="2"/>
        <v>0</v>
      </c>
      <c r="S22" s="56"/>
      <c r="T22" s="56">
        <f t="shared" si="3"/>
        <v>0</v>
      </c>
      <c r="U22" s="59"/>
      <c r="V22" s="56">
        <f t="shared" si="4"/>
        <v>0</v>
      </c>
      <c r="W22" s="50"/>
      <c r="X22" s="50">
        <f t="shared" si="5"/>
        <v>0</v>
      </c>
      <c r="Y22" s="50"/>
      <c r="Z22" s="50">
        <f t="shared" si="6"/>
        <v>0</v>
      </c>
      <c r="AA22" s="50"/>
      <c r="AB22" s="50">
        <f t="shared" si="7"/>
        <v>0</v>
      </c>
      <c r="AC22" s="50"/>
      <c r="AD22" s="50">
        <f t="shared" si="8"/>
        <v>0</v>
      </c>
    </row>
    <row r="23" spans="1:30" ht="16" x14ac:dyDescent="0.2">
      <c r="A23" s="56">
        <v>1</v>
      </c>
      <c r="B23" s="56" t="s">
        <v>219</v>
      </c>
      <c r="C23" s="56" t="s">
        <v>159</v>
      </c>
      <c r="D23" s="60" t="s">
        <v>97</v>
      </c>
      <c r="E23" s="58" t="s">
        <v>404</v>
      </c>
      <c r="F23" s="56" t="s">
        <v>405</v>
      </c>
      <c r="G23" s="56">
        <v>1</v>
      </c>
      <c r="H23" s="56" t="s">
        <v>34</v>
      </c>
      <c r="I23" s="69">
        <v>200</v>
      </c>
      <c r="J23" s="69">
        <v>1</v>
      </c>
      <c r="K23" s="69"/>
      <c r="L23" s="69">
        <f t="shared" si="0"/>
        <v>1</v>
      </c>
      <c r="M23" s="69">
        <f t="shared" si="9"/>
        <v>200</v>
      </c>
      <c r="N23" s="61"/>
      <c r="O23" s="56"/>
      <c r="P23" s="56">
        <f t="shared" si="1"/>
        <v>0</v>
      </c>
      <c r="Q23" s="56"/>
      <c r="R23" s="56">
        <f t="shared" si="2"/>
        <v>0</v>
      </c>
      <c r="S23" s="56"/>
      <c r="T23" s="56">
        <f t="shared" si="3"/>
        <v>0</v>
      </c>
      <c r="U23" s="59"/>
      <c r="V23" s="56">
        <f t="shared" si="4"/>
        <v>0</v>
      </c>
      <c r="W23" s="50"/>
      <c r="X23" s="50">
        <f t="shared" si="5"/>
        <v>0</v>
      </c>
      <c r="Y23" s="50"/>
      <c r="Z23" s="50">
        <f t="shared" si="6"/>
        <v>0</v>
      </c>
      <c r="AA23" s="50"/>
      <c r="AB23" s="50">
        <f t="shared" si="7"/>
        <v>0</v>
      </c>
      <c r="AC23" s="50"/>
      <c r="AD23" s="50">
        <f t="shared" si="8"/>
        <v>0</v>
      </c>
    </row>
    <row r="24" spans="1:30" ht="16" x14ac:dyDescent="0.2">
      <c r="A24" s="56">
        <v>1</v>
      </c>
      <c r="B24" s="56" t="s">
        <v>219</v>
      </c>
      <c r="C24" s="56" t="s">
        <v>159</v>
      </c>
      <c r="D24" s="60" t="s">
        <v>44</v>
      </c>
      <c r="E24" s="58" t="s">
        <v>418</v>
      </c>
      <c r="F24" s="56" t="s">
        <v>67</v>
      </c>
      <c r="G24" s="56">
        <v>1</v>
      </c>
      <c r="H24" s="56" t="s">
        <v>34</v>
      </c>
      <c r="I24" s="69">
        <v>58</v>
      </c>
      <c r="J24" s="69">
        <v>3</v>
      </c>
      <c r="K24" s="69"/>
      <c r="L24" s="69">
        <f t="shared" si="0"/>
        <v>3</v>
      </c>
      <c r="M24" s="69">
        <f t="shared" si="9"/>
        <v>174</v>
      </c>
      <c r="N24" s="61"/>
      <c r="O24" s="56">
        <v>27</v>
      </c>
      <c r="P24" s="56">
        <f t="shared" si="1"/>
        <v>81</v>
      </c>
      <c r="Q24" s="56">
        <v>0.6</v>
      </c>
      <c r="R24" s="56">
        <f t="shared" si="2"/>
        <v>1.7999999999999998</v>
      </c>
      <c r="S24" s="56">
        <v>5.9</v>
      </c>
      <c r="T24" s="56">
        <f t="shared" si="3"/>
        <v>17.700000000000003</v>
      </c>
      <c r="U24" s="59">
        <v>0.1</v>
      </c>
      <c r="V24" s="56">
        <f t="shared" si="4"/>
        <v>0.30000000000000004</v>
      </c>
      <c r="W24" s="50">
        <v>1.7</v>
      </c>
      <c r="X24" s="50">
        <f t="shared" si="5"/>
        <v>5.1000000000000005</v>
      </c>
      <c r="Y24" s="50">
        <v>16</v>
      </c>
      <c r="Z24" s="50">
        <f t="shared" si="6"/>
        <v>48</v>
      </c>
      <c r="AA24" s="50">
        <v>0.3</v>
      </c>
      <c r="AB24" s="50">
        <f t="shared" si="7"/>
        <v>0.89999999999999991</v>
      </c>
      <c r="AC24" s="50">
        <v>20</v>
      </c>
      <c r="AD24" s="50">
        <f t="shared" si="8"/>
        <v>60</v>
      </c>
    </row>
    <row r="25" spans="1:30" ht="16" x14ac:dyDescent="0.2">
      <c r="A25" s="56">
        <v>1</v>
      </c>
      <c r="B25" s="56" t="s">
        <v>219</v>
      </c>
      <c r="C25" s="56" t="s">
        <v>159</v>
      </c>
      <c r="D25" s="60" t="s">
        <v>74</v>
      </c>
      <c r="E25" s="58" t="s">
        <v>428</v>
      </c>
      <c r="F25" s="56" t="s">
        <v>220</v>
      </c>
      <c r="G25" s="56">
        <v>1</v>
      </c>
      <c r="H25" s="56" t="s">
        <v>34</v>
      </c>
      <c r="I25" s="69">
        <v>100</v>
      </c>
      <c r="J25" s="69">
        <v>0.1</v>
      </c>
      <c r="K25" s="69"/>
      <c r="L25" s="69">
        <f t="shared" si="0"/>
        <v>0.1</v>
      </c>
      <c r="M25" s="69">
        <f t="shared" si="9"/>
        <v>10</v>
      </c>
      <c r="N25" s="61"/>
      <c r="O25" s="56"/>
      <c r="P25" s="56">
        <f t="shared" si="1"/>
        <v>0</v>
      </c>
      <c r="Q25" s="56"/>
      <c r="R25" s="56">
        <f t="shared" si="2"/>
        <v>0</v>
      </c>
      <c r="S25" s="56"/>
      <c r="T25" s="56">
        <f t="shared" si="3"/>
        <v>0</v>
      </c>
      <c r="U25" s="59"/>
      <c r="V25" s="56">
        <f t="shared" si="4"/>
        <v>0</v>
      </c>
      <c r="W25" s="50"/>
      <c r="X25" s="50">
        <f t="shared" si="5"/>
        <v>0</v>
      </c>
      <c r="Y25" s="50"/>
      <c r="Z25" s="50">
        <f t="shared" si="6"/>
        <v>0</v>
      </c>
      <c r="AA25" s="50"/>
      <c r="AB25" s="50">
        <f t="shared" si="7"/>
        <v>0</v>
      </c>
      <c r="AC25" s="50"/>
      <c r="AD25" s="50">
        <f t="shared" si="8"/>
        <v>0</v>
      </c>
    </row>
    <row r="26" spans="1:30" ht="16" customHeight="1" x14ac:dyDescent="0.2">
      <c r="A26" s="56">
        <v>2</v>
      </c>
      <c r="B26" s="56" t="s">
        <v>158</v>
      </c>
      <c r="C26" s="56" t="s">
        <v>167</v>
      </c>
      <c r="D26" s="58" t="s">
        <v>44</v>
      </c>
      <c r="E26" s="58" t="s">
        <v>23</v>
      </c>
      <c r="F26" s="56" t="s">
        <v>63</v>
      </c>
      <c r="G26" s="70">
        <f>1/8</f>
        <v>0.125</v>
      </c>
      <c r="H26" s="56" t="s">
        <v>53</v>
      </c>
      <c r="I26" s="56">
        <v>30</v>
      </c>
      <c r="J26" s="56">
        <v>1</v>
      </c>
      <c r="K26" s="56"/>
      <c r="L26" s="69">
        <f t="shared" si="0"/>
        <v>1</v>
      </c>
      <c r="M26" s="56">
        <f t="shared" si="9"/>
        <v>30</v>
      </c>
      <c r="N26" s="59"/>
      <c r="O26" s="56">
        <v>53</v>
      </c>
      <c r="P26" s="56">
        <f t="shared" si="1"/>
        <v>53</v>
      </c>
      <c r="Q26" s="56">
        <v>0.6</v>
      </c>
      <c r="R26" s="56">
        <f t="shared" si="2"/>
        <v>0.6</v>
      </c>
      <c r="S26" s="56">
        <v>2.2000000000000002</v>
      </c>
      <c r="T26" s="56">
        <f t="shared" si="3"/>
        <v>2.2000000000000002</v>
      </c>
      <c r="U26" s="59">
        <v>4.5999999999999996</v>
      </c>
      <c r="V26" s="56">
        <f t="shared" si="4"/>
        <v>4.5999999999999996</v>
      </c>
      <c r="W26" s="50">
        <v>1.5</v>
      </c>
      <c r="X26" s="50">
        <f t="shared" si="5"/>
        <v>1.5</v>
      </c>
      <c r="Y26" s="50">
        <v>3</v>
      </c>
      <c r="Z26" s="50">
        <f t="shared" si="6"/>
        <v>3</v>
      </c>
      <c r="AA26" s="50">
        <v>0.3</v>
      </c>
      <c r="AB26" s="50">
        <f t="shared" si="7"/>
        <v>0.3</v>
      </c>
      <c r="AC26" s="50">
        <v>3</v>
      </c>
      <c r="AD26" s="50">
        <f t="shared" si="8"/>
        <v>3</v>
      </c>
    </row>
    <row r="27" spans="1:30" ht="16" x14ac:dyDescent="0.2">
      <c r="A27" s="56">
        <v>2</v>
      </c>
      <c r="B27" s="56" t="s">
        <v>158</v>
      </c>
      <c r="C27" s="56" t="s">
        <v>167</v>
      </c>
      <c r="D27" s="58" t="s">
        <v>17</v>
      </c>
      <c r="E27" s="60" t="s">
        <v>410</v>
      </c>
      <c r="F27" s="63" t="s">
        <v>26</v>
      </c>
      <c r="G27" s="56">
        <v>1</v>
      </c>
      <c r="H27" s="56" t="s">
        <v>27</v>
      </c>
      <c r="I27" s="56">
        <v>52</v>
      </c>
      <c r="J27" s="56">
        <v>1</v>
      </c>
      <c r="K27" s="56"/>
      <c r="L27" s="69">
        <f t="shared" si="0"/>
        <v>1</v>
      </c>
      <c r="M27" s="56">
        <f t="shared" si="9"/>
        <v>52</v>
      </c>
      <c r="N27" s="61" t="s">
        <v>411</v>
      </c>
      <c r="O27" s="56">
        <v>102</v>
      </c>
      <c r="P27" s="56">
        <f t="shared" si="1"/>
        <v>102</v>
      </c>
      <c r="Q27" s="56">
        <v>2.1</v>
      </c>
      <c r="R27" s="56">
        <f t="shared" si="2"/>
        <v>2.1</v>
      </c>
      <c r="S27" s="56">
        <v>22.5</v>
      </c>
      <c r="T27" s="56">
        <f t="shared" si="3"/>
        <v>22.5</v>
      </c>
      <c r="U27" s="59">
        <v>0.3</v>
      </c>
      <c r="V27" s="56">
        <f t="shared" si="4"/>
        <v>0.3</v>
      </c>
      <c r="W27" s="50">
        <v>0.3</v>
      </c>
      <c r="X27" s="50">
        <f t="shared" si="5"/>
        <v>0.3</v>
      </c>
      <c r="Y27" s="50">
        <v>2</v>
      </c>
      <c r="Z27" s="50">
        <f t="shared" si="6"/>
        <v>2</v>
      </c>
      <c r="AA27" s="50">
        <v>0.4</v>
      </c>
      <c r="AB27" s="50">
        <f t="shared" si="7"/>
        <v>0.4</v>
      </c>
      <c r="AC27" s="50">
        <v>1</v>
      </c>
      <c r="AD27" s="50">
        <f t="shared" si="8"/>
        <v>1</v>
      </c>
    </row>
    <row r="28" spans="1:30" ht="16" x14ac:dyDescent="0.2">
      <c r="A28" s="56">
        <v>2</v>
      </c>
      <c r="B28" s="56" t="s">
        <v>158</v>
      </c>
      <c r="C28" s="56" t="s">
        <v>167</v>
      </c>
      <c r="D28" s="58" t="s">
        <v>44</v>
      </c>
      <c r="E28" s="60" t="s">
        <v>410</v>
      </c>
      <c r="F28" s="56" t="s">
        <v>47</v>
      </c>
      <c r="G28" s="56">
        <v>6</v>
      </c>
      <c r="H28" s="56" t="s">
        <v>48</v>
      </c>
      <c r="I28" s="56">
        <v>80</v>
      </c>
      <c r="J28" s="56">
        <v>1</v>
      </c>
      <c r="K28" s="56"/>
      <c r="L28" s="69">
        <f t="shared" si="0"/>
        <v>1</v>
      </c>
      <c r="M28" s="56">
        <f t="shared" si="9"/>
        <v>80</v>
      </c>
      <c r="N28" s="59" t="s">
        <v>413</v>
      </c>
      <c r="O28" s="56">
        <v>101</v>
      </c>
      <c r="P28" s="56">
        <f t="shared" si="1"/>
        <v>101</v>
      </c>
      <c r="Q28" s="56">
        <v>1.9</v>
      </c>
      <c r="R28" s="56">
        <f t="shared" si="2"/>
        <v>1.9</v>
      </c>
      <c r="S28" s="56">
        <v>22.9</v>
      </c>
      <c r="T28" s="56">
        <f t="shared" si="3"/>
        <v>22.9</v>
      </c>
      <c r="U28" s="59">
        <v>0.2</v>
      </c>
      <c r="V28" s="56">
        <f t="shared" si="4"/>
        <v>0.2</v>
      </c>
      <c r="W28" s="50">
        <v>0.2</v>
      </c>
      <c r="X28" s="50">
        <f t="shared" si="5"/>
        <v>0.2</v>
      </c>
      <c r="Y28" s="50">
        <v>2</v>
      </c>
      <c r="Z28" s="50">
        <f t="shared" si="6"/>
        <v>2</v>
      </c>
      <c r="AA28" s="50">
        <v>0.2</v>
      </c>
      <c r="AB28" s="50">
        <f t="shared" si="7"/>
        <v>0.2</v>
      </c>
      <c r="AC28" s="50">
        <v>0</v>
      </c>
      <c r="AD28" s="50">
        <f t="shared" si="8"/>
        <v>0</v>
      </c>
    </row>
    <row r="29" spans="1:30" ht="16" x14ac:dyDescent="0.2">
      <c r="A29" s="56">
        <v>2</v>
      </c>
      <c r="B29" s="56" t="s">
        <v>158</v>
      </c>
      <c r="C29" s="56" t="s">
        <v>167</v>
      </c>
      <c r="D29" s="58" t="s">
        <v>17</v>
      </c>
      <c r="E29" s="58" t="s">
        <v>406</v>
      </c>
      <c r="F29" s="56" t="s">
        <v>38</v>
      </c>
      <c r="G29" s="56">
        <v>1</v>
      </c>
      <c r="H29" s="56" t="s">
        <v>39</v>
      </c>
      <c r="I29" s="56">
        <v>20</v>
      </c>
      <c r="J29" s="56">
        <v>1</v>
      </c>
      <c r="K29" s="56"/>
      <c r="L29" s="69">
        <f t="shared" si="0"/>
        <v>1</v>
      </c>
      <c r="M29" s="56">
        <f t="shared" si="9"/>
        <v>20</v>
      </c>
      <c r="N29" s="59"/>
      <c r="O29" s="56">
        <v>77</v>
      </c>
      <c r="P29" s="56">
        <f t="shared" si="1"/>
        <v>77</v>
      </c>
      <c r="Q29" s="56">
        <v>4.7</v>
      </c>
      <c r="R29" s="56">
        <f t="shared" si="2"/>
        <v>4.7</v>
      </c>
      <c r="S29" s="56">
        <v>1.8</v>
      </c>
      <c r="T29" s="56">
        <f t="shared" si="3"/>
        <v>1.8</v>
      </c>
      <c r="U29" s="59">
        <v>5.7</v>
      </c>
      <c r="V29" s="56">
        <f t="shared" si="4"/>
        <v>5.7</v>
      </c>
      <c r="W29" s="50">
        <v>0</v>
      </c>
      <c r="X29" s="50">
        <f t="shared" si="5"/>
        <v>0</v>
      </c>
      <c r="Y29" s="50">
        <v>147</v>
      </c>
      <c r="Z29" s="50">
        <f t="shared" si="6"/>
        <v>147</v>
      </c>
      <c r="AA29" s="50">
        <v>0.5</v>
      </c>
      <c r="AB29" s="50">
        <f t="shared" si="7"/>
        <v>0.5</v>
      </c>
      <c r="AC29" s="50">
        <v>112</v>
      </c>
      <c r="AD29" s="50">
        <f t="shared" si="8"/>
        <v>112</v>
      </c>
    </row>
    <row r="30" spans="1:30" ht="16" x14ac:dyDescent="0.2">
      <c r="A30" s="56">
        <v>2</v>
      </c>
      <c r="B30" s="56" t="s">
        <v>158</v>
      </c>
      <c r="C30" s="56" t="s">
        <v>167</v>
      </c>
      <c r="D30" s="58" t="s">
        <v>44</v>
      </c>
      <c r="E30" s="58" t="s">
        <v>418</v>
      </c>
      <c r="F30" s="56" t="s">
        <v>60</v>
      </c>
      <c r="G30" s="56">
        <v>1</v>
      </c>
      <c r="H30" s="56" t="s">
        <v>222</v>
      </c>
      <c r="I30" s="56">
        <v>100</v>
      </c>
      <c r="J30" s="56">
        <v>0.5</v>
      </c>
      <c r="K30" s="56"/>
      <c r="L30" s="69">
        <f t="shared" si="0"/>
        <v>0.5</v>
      </c>
      <c r="M30" s="56">
        <f t="shared" si="9"/>
        <v>50</v>
      </c>
      <c r="N30" s="59"/>
      <c r="O30" s="56"/>
      <c r="P30" s="56">
        <f t="shared" si="1"/>
        <v>0</v>
      </c>
      <c r="Q30" s="56"/>
      <c r="R30" s="56">
        <f t="shared" si="2"/>
        <v>0</v>
      </c>
      <c r="S30" s="56"/>
      <c r="T30" s="56">
        <f t="shared" si="3"/>
        <v>0</v>
      </c>
      <c r="U30" s="59"/>
      <c r="V30" s="56">
        <f t="shared" si="4"/>
        <v>0</v>
      </c>
      <c r="W30" s="50"/>
      <c r="X30" s="50">
        <f t="shared" si="5"/>
        <v>0</v>
      </c>
      <c r="Y30" s="50"/>
      <c r="Z30" s="50">
        <f t="shared" si="6"/>
        <v>0</v>
      </c>
      <c r="AA30" s="50"/>
      <c r="AB30" s="50">
        <f t="shared" si="7"/>
        <v>0</v>
      </c>
      <c r="AC30" s="50"/>
      <c r="AD30" s="50">
        <f t="shared" si="8"/>
        <v>0</v>
      </c>
    </row>
    <row r="31" spans="1:30" ht="16" x14ac:dyDescent="0.2">
      <c r="A31" s="56">
        <v>2</v>
      </c>
      <c r="B31" s="56" t="s">
        <v>158</v>
      </c>
      <c r="C31" s="56" t="s">
        <v>167</v>
      </c>
      <c r="D31" s="58" t="s">
        <v>74</v>
      </c>
      <c r="E31" s="58" t="s">
        <v>418</v>
      </c>
      <c r="F31" s="56" t="s">
        <v>60</v>
      </c>
      <c r="G31" s="56">
        <v>1</v>
      </c>
      <c r="H31" s="56" t="s">
        <v>222</v>
      </c>
      <c r="I31" s="56">
        <v>100</v>
      </c>
      <c r="J31" s="56">
        <v>0.5</v>
      </c>
      <c r="K31" s="56"/>
      <c r="L31" s="69">
        <f t="shared" si="0"/>
        <v>0.5</v>
      </c>
      <c r="M31" s="56">
        <f t="shared" si="9"/>
        <v>50</v>
      </c>
      <c r="N31" s="59"/>
      <c r="O31" s="56"/>
      <c r="P31" s="56">
        <f t="shared" si="1"/>
        <v>0</v>
      </c>
      <c r="Q31" s="56"/>
      <c r="R31" s="56">
        <f t="shared" si="2"/>
        <v>0</v>
      </c>
      <c r="S31" s="56"/>
      <c r="T31" s="56">
        <f t="shared" si="3"/>
        <v>0</v>
      </c>
      <c r="U31" s="59"/>
      <c r="V31" s="56">
        <f t="shared" si="4"/>
        <v>0</v>
      </c>
      <c r="W31" s="50"/>
      <c r="X31" s="50">
        <f t="shared" si="5"/>
        <v>0</v>
      </c>
      <c r="Y31" s="50"/>
      <c r="Z31" s="50">
        <f t="shared" si="6"/>
        <v>0</v>
      </c>
      <c r="AA31" s="50"/>
      <c r="AB31" s="50">
        <f t="shared" si="7"/>
        <v>0</v>
      </c>
      <c r="AC31" s="50"/>
      <c r="AD31" s="50">
        <f t="shared" si="8"/>
        <v>0</v>
      </c>
    </row>
    <row r="32" spans="1:30" ht="17" x14ac:dyDescent="0.2">
      <c r="A32" s="56">
        <v>2</v>
      </c>
      <c r="B32" s="56" t="s">
        <v>158</v>
      </c>
      <c r="C32" s="56" t="s">
        <v>167</v>
      </c>
      <c r="D32" s="57" t="s">
        <v>224</v>
      </c>
      <c r="E32" s="58" t="s">
        <v>18</v>
      </c>
      <c r="F32" s="56" t="s">
        <v>228</v>
      </c>
      <c r="G32" s="56">
        <v>1</v>
      </c>
      <c r="H32" s="56" t="s">
        <v>43</v>
      </c>
      <c r="I32" s="56">
        <v>100</v>
      </c>
      <c r="J32" s="56">
        <v>1</v>
      </c>
      <c r="K32" s="56"/>
      <c r="L32" s="69">
        <f t="shared" si="0"/>
        <v>1</v>
      </c>
      <c r="M32" s="56">
        <f t="shared" si="9"/>
        <v>100</v>
      </c>
      <c r="N32" s="59" t="s">
        <v>416</v>
      </c>
      <c r="O32" s="56">
        <v>59</v>
      </c>
      <c r="P32" s="56">
        <f t="shared" si="1"/>
        <v>59</v>
      </c>
      <c r="Q32" s="56">
        <v>1</v>
      </c>
      <c r="R32" s="56">
        <f t="shared" si="2"/>
        <v>1</v>
      </c>
      <c r="S32" s="56">
        <v>13.3</v>
      </c>
      <c r="T32" s="56">
        <f t="shared" si="3"/>
        <v>13.3</v>
      </c>
      <c r="U32" s="59">
        <v>0.3</v>
      </c>
      <c r="V32" s="56">
        <f t="shared" si="4"/>
        <v>0.3</v>
      </c>
      <c r="W32" s="50">
        <v>2.6</v>
      </c>
      <c r="X32" s="50">
        <f t="shared" si="5"/>
        <v>2.6</v>
      </c>
      <c r="Y32" s="50">
        <v>21</v>
      </c>
      <c r="Z32" s="50">
        <f t="shared" si="6"/>
        <v>21</v>
      </c>
      <c r="AA32" s="50">
        <v>0.5</v>
      </c>
      <c r="AB32" s="50">
        <f t="shared" si="7"/>
        <v>0.5</v>
      </c>
      <c r="AC32" s="50">
        <v>4</v>
      </c>
      <c r="AD32" s="50">
        <f t="shared" si="8"/>
        <v>4</v>
      </c>
    </row>
    <row r="33" spans="1:31" ht="16" x14ac:dyDescent="0.2">
      <c r="A33" s="56">
        <v>2</v>
      </c>
      <c r="B33" s="56" t="s">
        <v>158</v>
      </c>
      <c r="C33" s="56" t="s">
        <v>167</v>
      </c>
      <c r="D33" s="58" t="s">
        <v>17</v>
      </c>
      <c r="E33" s="58" t="s">
        <v>18</v>
      </c>
      <c r="F33" s="56" t="s">
        <v>19</v>
      </c>
      <c r="G33" s="56">
        <v>9</v>
      </c>
      <c r="H33" s="56" t="s">
        <v>20</v>
      </c>
      <c r="I33" s="56">
        <v>161</v>
      </c>
      <c r="J33" s="56"/>
      <c r="K33" s="56">
        <v>3</v>
      </c>
      <c r="L33" s="69">
        <f t="shared" si="0"/>
        <v>0.33333333333333331</v>
      </c>
      <c r="M33" s="56">
        <f t="shared" si="9"/>
        <v>53.666666666666664</v>
      </c>
      <c r="N33" s="59"/>
      <c r="O33" s="56">
        <v>55</v>
      </c>
      <c r="P33" s="56">
        <f t="shared" si="1"/>
        <v>18.333333333333332</v>
      </c>
      <c r="Q33" s="56">
        <v>1.3</v>
      </c>
      <c r="R33" s="56">
        <f t="shared" si="2"/>
        <v>0.43333333333333335</v>
      </c>
      <c r="S33" s="56">
        <v>11.1</v>
      </c>
      <c r="T33" s="56">
        <f t="shared" si="3"/>
        <v>3.6999999999999997</v>
      </c>
      <c r="U33" s="59">
        <v>0.6</v>
      </c>
      <c r="V33" s="56">
        <f t="shared" si="4"/>
        <v>0.19999999999999998</v>
      </c>
      <c r="W33" s="50">
        <v>3.7</v>
      </c>
      <c r="X33" s="50">
        <f t="shared" si="5"/>
        <v>1.2333333333333334</v>
      </c>
      <c r="Y33" s="50">
        <v>45</v>
      </c>
      <c r="Z33" s="50">
        <f t="shared" si="6"/>
        <v>15</v>
      </c>
      <c r="AA33" s="50">
        <v>1.3</v>
      </c>
      <c r="AB33" s="50">
        <f t="shared" si="7"/>
        <v>0.43333333333333335</v>
      </c>
      <c r="AC33" s="50">
        <v>2</v>
      </c>
      <c r="AD33" s="50">
        <f t="shared" si="8"/>
        <v>0.66666666666666663</v>
      </c>
    </row>
    <row r="34" spans="1:31" ht="17" x14ac:dyDescent="0.2">
      <c r="A34" s="56">
        <v>2</v>
      </c>
      <c r="B34" s="56" t="s">
        <v>158</v>
      </c>
      <c r="C34" s="56" t="s">
        <v>167</v>
      </c>
      <c r="D34" s="57" t="s">
        <v>224</v>
      </c>
      <c r="E34" s="58" t="s">
        <v>426</v>
      </c>
      <c r="F34" s="56" t="s">
        <v>105</v>
      </c>
      <c r="G34" s="56">
        <v>1</v>
      </c>
      <c r="H34" s="56" t="s">
        <v>227</v>
      </c>
      <c r="I34" s="56">
        <v>30</v>
      </c>
      <c r="J34" s="56">
        <v>2</v>
      </c>
      <c r="K34" s="56"/>
      <c r="L34" s="69">
        <f t="shared" si="0"/>
        <v>2</v>
      </c>
      <c r="M34" s="56">
        <f t="shared" si="9"/>
        <v>60</v>
      </c>
      <c r="N34" s="59" t="s">
        <v>111</v>
      </c>
      <c r="O34" s="56">
        <v>56</v>
      </c>
      <c r="P34" s="56">
        <f t="shared" si="1"/>
        <v>112</v>
      </c>
      <c r="Q34" s="56">
        <v>1.5</v>
      </c>
      <c r="R34" s="56">
        <f t="shared" si="2"/>
        <v>3</v>
      </c>
      <c r="S34" s="56">
        <v>2.2000000000000002</v>
      </c>
      <c r="T34" s="56">
        <f t="shared" ref="T34:T65" si="10">(S34*M34)/I34</f>
        <v>4.4000000000000004</v>
      </c>
      <c r="U34" s="59">
        <v>4.5999999999999996</v>
      </c>
      <c r="V34" s="56">
        <f t="shared" si="4"/>
        <v>9.1999999999999993</v>
      </c>
      <c r="W34" s="50">
        <v>1.2</v>
      </c>
      <c r="X34" s="50">
        <f t="shared" si="5"/>
        <v>2.4</v>
      </c>
      <c r="Y34" s="50">
        <v>25</v>
      </c>
      <c r="Z34" s="50">
        <f t="shared" ref="Z34:Z65" si="11">(Y34*M34)/I34</f>
        <v>50</v>
      </c>
      <c r="AA34" s="50">
        <v>0.3</v>
      </c>
      <c r="AB34" s="50">
        <f t="shared" ref="AB34:AB62" si="12">(AA34*M34)/I34</f>
        <v>0.6</v>
      </c>
      <c r="AC34" s="50">
        <v>1</v>
      </c>
      <c r="AD34" s="50">
        <f t="shared" si="8"/>
        <v>2</v>
      </c>
    </row>
    <row r="35" spans="1:31" ht="17" x14ac:dyDescent="0.2">
      <c r="A35" s="56">
        <v>2</v>
      </c>
      <c r="B35" s="56" t="s">
        <v>158</v>
      </c>
      <c r="C35" s="56" t="s">
        <v>167</v>
      </c>
      <c r="D35" s="57" t="s">
        <v>97</v>
      </c>
      <c r="E35" s="58" t="s">
        <v>422</v>
      </c>
      <c r="F35" s="56" t="s">
        <v>229</v>
      </c>
      <c r="G35" s="56">
        <v>1</v>
      </c>
      <c r="H35" s="56" t="s">
        <v>230</v>
      </c>
      <c r="I35" s="56">
        <v>160</v>
      </c>
      <c r="J35" s="56">
        <v>1</v>
      </c>
      <c r="K35" s="56"/>
      <c r="L35" s="69">
        <f t="shared" si="0"/>
        <v>1</v>
      </c>
      <c r="M35" s="56">
        <f t="shared" si="9"/>
        <v>160</v>
      </c>
      <c r="N35" s="59"/>
      <c r="O35" s="56">
        <v>97</v>
      </c>
      <c r="P35" s="56">
        <f t="shared" si="1"/>
        <v>97</v>
      </c>
      <c r="Q35" s="56">
        <v>1.9</v>
      </c>
      <c r="R35" s="56">
        <f t="shared" si="2"/>
        <v>1.9</v>
      </c>
      <c r="S35" s="56">
        <v>22.4</v>
      </c>
      <c r="T35" s="56">
        <f t="shared" si="10"/>
        <v>22.4</v>
      </c>
      <c r="U35" s="59">
        <v>0</v>
      </c>
      <c r="V35" s="56">
        <f t="shared" si="4"/>
        <v>0</v>
      </c>
      <c r="W35" s="50">
        <v>0</v>
      </c>
      <c r="X35" s="50">
        <f t="shared" si="5"/>
        <v>0</v>
      </c>
      <c r="Y35" s="50">
        <v>3</v>
      </c>
      <c r="Z35" s="50">
        <f t="shared" si="11"/>
        <v>3</v>
      </c>
      <c r="AA35" s="50">
        <v>0</v>
      </c>
      <c r="AB35" s="50">
        <f t="shared" si="12"/>
        <v>0</v>
      </c>
      <c r="AC35" s="50">
        <v>67</v>
      </c>
      <c r="AD35" s="50">
        <f t="shared" si="8"/>
        <v>67</v>
      </c>
      <c r="AE35" t="s">
        <v>414</v>
      </c>
    </row>
    <row r="36" spans="1:31" ht="16" x14ac:dyDescent="0.2">
      <c r="A36" s="56">
        <v>2</v>
      </c>
      <c r="B36" s="56" t="s">
        <v>158</v>
      </c>
      <c r="C36" s="56" t="s">
        <v>167</v>
      </c>
      <c r="D36" s="58" t="s">
        <v>44</v>
      </c>
      <c r="E36" s="58" t="s">
        <v>18</v>
      </c>
      <c r="F36" s="56" t="s">
        <v>223</v>
      </c>
      <c r="G36" s="56">
        <v>1</v>
      </c>
      <c r="H36" s="56" t="s">
        <v>53</v>
      </c>
      <c r="I36" s="56">
        <v>105</v>
      </c>
      <c r="J36" s="56">
        <v>1</v>
      </c>
      <c r="K36" s="56"/>
      <c r="L36" s="69">
        <f t="shared" si="0"/>
        <v>1</v>
      </c>
      <c r="M36" s="56">
        <f t="shared" si="9"/>
        <v>105</v>
      </c>
      <c r="N36" s="59" t="s">
        <v>417</v>
      </c>
      <c r="O36" s="56">
        <v>59</v>
      </c>
      <c r="P36" s="56">
        <f t="shared" si="1"/>
        <v>59</v>
      </c>
      <c r="Q36" s="56">
        <v>0.8</v>
      </c>
      <c r="R36" s="56">
        <f t="shared" si="2"/>
        <v>0.8</v>
      </c>
      <c r="S36" s="56">
        <v>12.5</v>
      </c>
      <c r="T36" s="56">
        <f t="shared" si="10"/>
        <v>12.5</v>
      </c>
      <c r="U36" s="59">
        <v>0.6</v>
      </c>
      <c r="V36" s="56">
        <f t="shared" si="4"/>
        <v>0.6</v>
      </c>
      <c r="W36" s="50">
        <v>5.7</v>
      </c>
      <c r="X36" s="50">
        <f t="shared" si="5"/>
        <v>5.7</v>
      </c>
      <c r="Y36" s="50">
        <v>21</v>
      </c>
      <c r="Z36" s="50">
        <f t="shared" si="11"/>
        <v>21</v>
      </c>
      <c r="AA36" s="50">
        <v>0.3</v>
      </c>
      <c r="AB36" s="50">
        <f t="shared" si="12"/>
        <v>0.3</v>
      </c>
      <c r="AC36" s="50">
        <v>3</v>
      </c>
      <c r="AD36" s="50">
        <f t="shared" si="8"/>
        <v>3</v>
      </c>
    </row>
    <row r="37" spans="1:31" ht="16" x14ac:dyDescent="0.2">
      <c r="A37" s="56">
        <v>2</v>
      </c>
      <c r="B37" s="56" t="s">
        <v>158</v>
      </c>
      <c r="C37" s="56" t="s">
        <v>167</v>
      </c>
      <c r="D37" s="58" t="s">
        <v>17</v>
      </c>
      <c r="E37" s="58" t="s">
        <v>406</v>
      </c>
      <c r="F37" s="56" t="s">
        <v>33</v>
      </c>
      <c r="G37" s="56">
        <v>1</v>
      </c>
      <c r="H37" s="56" t="s">
        <v>34</v>
      </c>
      <c r="I37" s="56">
        <v>50</v>
      </c>
      <c r="J37" s="56">
        <v>2</v>
      </c>
      <c r="K37" s="56"/>
      <c r="L37" s="69">
        <f t="shared" si="0"/>
        <v>2</v>
      </c>
      <c r="M37" s="56">
        <f t="shared" si="9"/>
        <v>100</v>
      </c>
      <c r="N37" s="61" t="s">
        <v>430</v>
      </c>
      <c r="O37" s="56">
        <v>99.5</v>
      </c>
      <c r="P37" s="56">
        <f t="shared" si="1"/>
        <v>199</v>
      </c>
      <c r="Q37" s="56">
        <v>6.75</v>
      </c>
      <c r="R37" s="56">
        <f t="shared" si="2"/>
        <v>13.5</v>
      </c>
      <c r="S37" s="56">
        <v>0.7</v>
      </c>
      <c r="T37" s="56">
        <f t="shared" si="10"/>
        <v>1.4</v>
      </c>
      <c r="U37" s="59">
        <v>7.5</v>
      </c>
      <c r="V37" s="56">
        <f t="shared" si="4"/>
        <v>15</v>
      </c>
      <c r="W37" s="50">
        <v>0</v>
      </c>
      <c r="X37" s="50">
        <f t="shared" si="5"/>
        <v>0</v>
      </c>
      <c r="Y37" s="50">
        <v>27.5</v>
      </c>
      <c r="Z37" s="50">
        <f t="shared" si="11"/>
        <v>55</v>
      </c>
      <c r="AA37" s="50">
        <v>0.8</v>
      </c>
      <c r="AB37" s="50">
        <f t="shared" si="12"/>
        <v>1.6</v>
      </c>
      <c r="AC37" s="50">
        <v>176.5</v>
      </c>
      <c r="AD37" s="50">
        <f t="shared" si="8"/>
        <v>353</v>
      </c>
    </row>
    <row r="38" spans="1:31" ht="16" x14ac:dyDescent="0.2">
      <c r="A38" s="56">
        <v>2</v>
      </c>
      <c r="B38" s="56" t="s">
        <v>158</v>
      </c>
      <c r="C38" s="56" t="s">
        <v>167</v>
      </c>
      <c r="D38" s="58" t="s">
        <v>44</v>
      </c>
      <c r="E38" s="58" t="s">
        <v>406</v>
      </c>
      <c r="F38" s="56" t="s">
        <v>33</v>
      </c>
      <c r="G38" s="56">
        <v>1</v>
      </c>
      <c r="H38" s="56" t="s">
        <v>34</v>
      </c>
      <c r="I38" s="56">
        <v>50</v>
      </c>
      <c r="J38" s="56">
        <v>1</v>
      </c>
      <c r="K38" s="56"/>
      <c r="L38" s="69">
        <f t="shared" si="0"/>
        <v>1</v>
      </c>
      <c r="M38" s="56">
        <f t="shared" si="9"/>
        <v>50</v>
      </c>
      <c r="N38" s="61" t="s">
        <v>430</v>
      </c>
      <c r="O38" s="56">
        <v>99.5</v>
      </c>
      <c r="P38" s="56">
        <f t="shared" si="1"/>
        <v>99.5</v>
      </c>
      <c r="Q38" s="56">
        <v>6.75</v>
      </c>
      <c r="R38" s="56">
        <f t="shared" si="2"/>
        <v>6.75</v>
      </c>
      <c r="S38" s="56">
        <v>0.7</v>
      </c>
      <c r="T38" s="56">
        <f t="shared" si="10"/>
        <v>0.7</v>
      </c>
      <c r="U38" s="59">
        <v>7.5</v>
      </c>
      <c r="V38" s="56">
        <f t="shared" si="4"/>
        <v>7.5</v>
      </c>
      <c r="W38" s="50">
        <v>0</v>
      </c>
      <c r="X38" s="50">
        <f t="shared" si="5"/>
        <v>0</v>
      </c>
      <c r="Y38" s="50">
        <v>27.5</v>
      </c>
      <c r="Z38" s="50">
        <f t="shared" si="11"/>
        <v>27.5</v>
      </c>
      <c r="AA38" s="50">
        <v>0.8</v>
      </c>
      <c r="AB38" s="50">
        <f t="shared" si="12"/>
        <v>0.8</v>
      </c>
      <c r="AC38" s="50">
        <v>176.5</v>
      </c>
      <c r="AD38" s="50">
        <f t="shared" si="8"/>
        <v>176.5</v>
      </c>
    </row>
    <row r="39" spans="1:31" ht="17" x14ac:dyDescent="0.2">
      <c r="A39" s="56">
        <v>2</v>
      </c>
      <c r="B39" s="56" t="s">
        <v>158</v>
      </c>
      <c r="C39" s="56" t="s">
        <v>167</v>
      </c>
      <c r="D39" s="57" t="s">
        <v>97</v>
      </c>
      <c r="E39" s="58" t="s">
        <v>424</v>
      </c>
      <c r="F39" s="56" t="s">
        <v>231</v>
      </c>
      <c r="G39" s="56"/>
      <c r="H39" s="56"/>
      <c r="I39" s="56"/>
      <c r="J39" s="56"/>
      <c r="K39" s="56"/>
      <c r="L39" s="69"/>
      <c r="M39" s="56"/>
      <c r="N39" s="59" t="s">
        <v>232</v>
      </c>
      <c r="O39" s="56">
        <v>0</v>
      </c>
      <c r="P39" s="56" t="e">
        <f t="shared" si="1"/>
        <v>#DIV/0!</v>
      </c>
      <c r="Q39" s="56">
        <v>0</v>
      </c>
      <c r="R39" s="56" t="e">
        <f t="shared" si="2"/>
        <v>#DIV/0!</v>
      </c>
      <c r="S39" s="56">
        <v>0</v>
      </c>
      <c r="T39" s="56" t="e">
        <f t="shared" si="10"/>
        <v>#DIV/0!</v>
      </c>
      <c r="U39" s="59">
        <v>0</v>
      </c>
      <c r="V39" s="56" t="e">
        <f t="shared" si="4"/>
        <v>#DIV/0!</v>
      </c>
      <c r="W39" s="50">
        <v>0</v>
      </c>
      <c r="X39" s="50" t="e">
        <f t="shared" si="5"/>
        <v>#DIV/0!</v>
      </c>
      <c r="Y39" s="50">
        <v>0</v>
      </c>
      <c r="Z39" s="50" t="e">
        <f t="shared" si="11"/>
        <v>#DIV/0!</v>
      </c>
      <c r="AA39" s="50">
        <v>0</v>
      </c>
      <c r="AB39" s="50" t="e">
        <f t="shared" si="12"/>
        <v>#DIV/0!</v>
      </c>
      <c r="AC39" s="50">
        <v>0</v>
      </c>
      <c r="AD39" s="50" t="e">
        <f t="shared" si="8"/>
        <v>#DIV/0!</v>
      </c>
    </row>
    <row r="40" spans="1:31" ht="15.75" customHeight="1" x14ac:dyDescent="0.2">
      <c r="A40" s="56">
        <v>2</v>
      </c>
      <c r="B40" s="56" t="s">
        <v>158</v>
      </c>
      <c r="C40" s="56" t="s">
        <v>167</v>
      </c>
      <c r="D40" s="58" t="s">
        <v>17</v>
      </c>
      <c r="E40" s="58" t="s">
        <v>424</v>
      </c>
      <c r="F40" s="56" t="s">
        <v>42</v>
      </c>
      <c r="G40" s="56">
        <v>1</v>
      </c>
      <c r="H40" s="56" t="s">
        <v>43</v>
      </c>
      <c r="I40" s="56">
        <v>200</v>
      </c>
      <c r="J40" s="56">
        <v>1</v>
      </c>
      <c r="K40" s="56"/>
      <c r="L40" s="69">
        <f t="shared" ref="L40:L103" si="13">IF(J40=0,(K40/G40),J40)</f>
        <v>1</v>
      </c>
      <c r="M40" s="56">
        <f t="shared" ref="M40:M77" si="14">I40*L40</f>
        <v>200</v>
      </c>
      <c r="N40" s="59" t="s">
        <v>423</v>
      </c>
      <c r="O40" s="56">
        <v>92</v>
      </c>
      <c r="P40" s="56">
        <f t="shared" si="1"/>
        <v>92</v>
      </c>
      <c r="Q40" s="56">
        <v>1.4</v>
      </c>
      <c r="R40" s="56">
        <f t="shared" si="2"/>
        <v>1.4</v>
      </c>
      <c r="S40" s="56">
        <v>20.8</v>
      </c>
      <c r="T40" s="56">
        <f t="shared" si="10"/>
        <v>20.8</v>
      </c>
      <c r="U40" s="59">
        <v>0.4</v>
      </c>
      <c r="V40" s="56">
        <f t="shared" si="4"/>
        <v>0.4</v>
      </c>
      <c r="W40" s="50">
        <v>0.4</v>
      </c>
      <c r="X40" s="50">
        <f t="shared" si="5"/>
        <v>0.4</v>
      </c>
      <c r="Y40" s="50">
        <v>22</v>
      </c>
      <c r="Z40" s="50">
        <f t="shared" si="11"/>
        <v>22</v>
      </c>
      <c r="AA40" s="50">
        <v>0.4</v>
      </c>
      <c r="AB40" s="50">
        <f t="shared" si="12"/>
        <v>0.4</v>
      </c>
      <c r="AC40" s="50">
        <v>2</v>
      </c>
      <c r="AD40" s="50">
        <f t="shared" si="8"/>
        <v>2</v>
      </c>
    </row>
    <row r="41" spans="1:31" ht="16" x14ac:dyDescent="0.2">
      <c r="A41" s="56">
        <v>2</v>
      </c>
      <c r="B41" s="56" t="s">
        <v>158</v>
      </c>
      <c r="C41" s="56" t="s">
        <v>167</v>
      </c>
      <c r="D41" s="58" t="s">
        <v>44</v>
      </c>
      <c r="E41" s="58" t="s">
        <v>408</v>
      </c>
      <c r="F41" s="56" t="s">
        <v>50</v>
      </c>
      <c r="G41" s="56">
        <v>1</v>
      </c>
      <c r="H41" s="56" t="s">
        <v>51</v>
      </c>
      <c r="I41" s="56">
        <v>130</v>
      </c>
      <c r="J41" s="56">
        <v>1</v>
      </c>
      <c r="K41" s="56"/>
      <c r="L41" s="69">
        <f t="shared" si="13"/>
        <v>1</v>
      </c>
      <c r="M41" s="56">
        <f t="shared" si="14"/>
        <v>130</v>
      </c>
      <c r="N41" s="59"/>
      <c r="O41" s="56">
        <v>151</v>
      </c>
      <c r="P41" s="56">
        <f t="shared" si="1"/>
        <v>151</v>
      </c>
      <c r="Q41" s="56">
        <v>10.7</v>
      </c>
      <c r="R41" s="56">
        <f t="shared" si="2"/>
        <v>10.7</v>
      </c>
      <c r="S41" s="56">
        <v>24.3</v>
      </c>
      <c r="T41" s="56">
        <f t="shared" si="10"/>
        <v>24.3</v>
      </c>
      <c r="U41" s="59">
        <v>1.2</v>
      </c>
      <c r="V41" s="56">
        <f t="shared" si="4"/>
        <v>1.2</v>
      </c>
      <c r="W41" s="50">
        <v>9.4</v>
      </c>
      <c r="X41" s="50">
        <f t="shared" si="5"/>
        <v>9.4</v>
      </c>
      <c r="Y41" s="50">
        <v>24</v>
      </c>
      <c r="Z41" s="50">
        <f t="shared" si="11"/>
        <v>24</v>
      </c>
      <c r="AA41" s="50">
        <v>3.9</v>
      </c>
      <c r="AB41" s="50">
        <f t="shared" si="12"/>
        <v>3.9</v>
      </c>
      <c r="AC41" s="50">
        <v>4</v>
      </c>
      <c r="AD41" s="50">
        <f t="shared" si="8"/>
        <v>4</v>
      </c>
    </row>
    <row r="42" spans="1:31" ht="16" x14ac:dyDescent="0.2">
      <c r="A42" s="56">
        <v>2</v>
      </c>
      <c r="B42" s="56" t="s">
        <v>158</v>
      </c>
      <c r="C42" s="56" t="s">
        <v>167</v>
      </c>
      <c r="D42" s="58" t="s">
        <v>74</v>
      </c>
      <c r="E42" s="60" t="s">
        <v>410</v>
      </c>
      <c r="F42" s="56" t="s">
        <v>80</v>
      </c>
      <c r="G42" s="56">
        <v>3</v>
      </c>
      <c r="H42" s="56" t="s">
        <v>12</v>
      </c>
      <c r="I42" s="56">
        <v>108</v>
      </c>
      <c r="J42" s="56">
        <v>1</v>
      </c>
      <c r="K42" s="56"/>
      <c r="L42" s="69">
        <f t="shared" si="13"/>
        <v>1</v>
      </c>
      <c r="M42" s="56">
        <f t="shared" si="14"/>
        <v>108</v>
      </c>
      <c r="N42" s="59"/>
      <c r="O42" s="56">
        <v>93</v>
      </c>
      <c r="P42" s="56">
        <f t="shared" si="1"/>
        <v>93</v>
      </c>
      <c r="Q42" s="56">
        <v>2.7</v>
      </c>
      <c r="R42" s="56">
        <f t="shared" si="2"/>
        <v>2.7</v>
      </c>
      <c r="S42" s="56">
        <v>20.2</v>
      </c>
      <c r="T42" s="56">
        <f t="shared" si="10"/>
        <v>20.2</v>
      </c>
      <c r="U42" s="59">
        <v>0.1</v>
      </c>
      <c r="V42" s="56">
        <f t="shared" si="4"/>
        <v>0.1</v>
      </c>
      <c r="W42" s="50">
        <v>1.7</v>
      </c>
      <c r="X42" s="50">
        <f t="shared" si="5"/>
        <v>1.7</v>
      </c>
      <c r="Y42" s="50">
        <v>8</v>
      </c>
      <c r="Z42" s="50">
        <f t="shared" si="11"/>
        <v>8</v>
      </c>
      <c r="AA42" s="50">
        <v>0.6</v>
      </c>
      <c r="AB42" s="50">
        <f t="shared" si="12"/>
        <v>0.6</v>
      </c>
      <c r="AC42" s="50">
        <v>6</v>
      </c>
      <c r="AD42" s="50">
        <f t="shared" si="8"/>
        <v>6</v>
      </c>
    </row>
    <row r="43" spans="1:31" ht="15.75" customHeight="1" x14ac:dyDescent="0.2">
      <c r="A43" s="56">
        <v>2</v>
      </c>
      <c r="B43" s="56" t="s">
        <v>158</v>
      </c>
      <c r="C43" s="56" t="s">
        <v>167</v>
      </c>
      <c r="D43" s="58" t="s">
        <v>44</v>
      </c>
      <c r="E43" s="58" t="s">
        <v>36</v>
      </c>
      <c r="F43" s="56" t="s">
        <v>64</v>
      </c>
      <c r="G43" s="56">
        <v>1</v>
      </c>
      <c r="H43" s="56" t="s">
        <v>65</v>
      </c>
      <c r="I43" s="56">
        <v>75</v>
      </c>
      <c r="J43" s="56">
        <v>1</v>
      </c>
      <c r="K43" s="56"/>
      <c r="L43" s="69">
        <f t="shared" si="13"/>
        <v>1</v>
      </c>
      <c r="M43" s="56">
        <f t="shared" si="14"/>
        <v>75</v>
      </c>
      <c r="N43" s="59" t="s">
        <v>407</v>
      </c>
      <c r="O43" s="56">
        <v>83</v>
      </c>
      <c r="P43" s="56">
        <f t="shared" si="1"/>
        <v>83</v>
      </c>
      <c r="Q43" s="56">
        <v>18.5</v>
      </c>
      <c r="R43" s="56">
        <f t="shared" si="2"/>
        <v>18.5</v>
      </c>
      <c r="S43" s="56">
        <v>0</v>
      </c>
      <c r="T43" s="56">
        <f t="shared" si="10"/>
        <v>0</v>
      </c>
      <c r="U43" s="59">
        <v>1</v>
      </c>
      <c r="V43" s="56">
        <f t="shared" si="4"/>
        <v>1</v>
      </c>
      <c r="W43" s="50">
        <v>0</v>
      </c>
      <c r="X43" s="50">
        <f t="shared" si="5"/>
        <v>0</v>
      </c>
      <c r="Y43" s="50">
        <v>9</v>
      </c>
      <c r="Z43" s="50">
        <f t="shared" si="11"/>
        <v>9</v>
      </c>
      <c r="AA43" s="50">
        <v>0.6</v>
      </c>
      <c r="AB43" s="50">
        <f t="shared" si="12"/>
        <v>0.6</v>
      </c>
      <c r="AC43" s="50">
        <v>52</v>
      </c>
      <c r="AD43" s="50">
        <f t="shared" si="8"/>
        <v>52</v>
      </c>
    </row>
    <row r="44" spans="1:31" ht="15.75" customHeight="1" x14ac:dyDescent="0.2">
      <c r="A44" s="56">
        <v>2</v>
      </c>
      <c r="B44" s="56" t="s">
        <v>158</v>
      </c>
      <c r="C44" s="56" t="s">
        <v>167</v>
      </c>
      <c r="D44" s="58" t="s">
        <v>74</v>
      </c>
      <c r="E44" s="58" t="s">
        <v>36</v>
      </c>
      <c r="F44" s="56" t="s">
        <v>64</v>
      </c>
      <c r="G44" s="56">
        <v>1</v>
      </c>
      <c r="H44" s="56" t="s">
        <v>77</v>
      </c>
      <c r="I44" s="56">
        <v>80</v>
      </c>
      <c r="J44" s="56">
        <v>1</v>
      </c>
      <c r="K44" s="56"/>
      <c r="L44" s="69">
        <f t="shared" si="13"/>
        <v>1</v>
      </c>
      <c r="M44" s="56">
        <f t="shared" si="14"/>
        <v>80</v>
      </c>
      <c r="N44" s="59" t="s">
        <v>407</v>
      </c>
      <c r="O44" s="56">
        <v>83</v>
      </c>
      <c r="P44" s="56">
        <f t="shared" si="1"/>
        <v>83</v>
      </c>
      <c r="Q44" s="56">
        <v>18.5</v>
      </c>
      <c r="R44" s="56">
        <f t="shared" si="2"/>
        <v>18.5</v>
      </c>
      <c r="S44" s="56">
        <v>0</v>
      </c>
      <c r="T44" s="56">
        <f t="shared" si="10"/>
        <v>0</v>
      </c>
      <c r="U44" s="59">
        <v>1</v>
      </c>
      <c r="V44" s="56">
        <f t="shared" si="4"/>
        <v>1</v>
      </c>
      <c r="W44" s="50">
        <v>0</v>
      </c>
      <c r="X44" s="50">
        <f t="shared" si="5"/>
        <v>0</v>
      </c>
      <c r="Y44" s="50">
        <v>9</v>
      </c>
      <c r="Z44" s="50">
        <f t="shared" si="11"/>
        <v>9</v>
      </c>
      <c r="AA44" s="50">
        <v>0.6</v>
      </c>
      <c r="AB44" s="50">
        <f t="shared" si="12"/>
        <v>0.6</v>
      </c>
      <c r="AC44" s="50">
        <v>52</v>
      </c>
      <c r="AD44" s="50">
        <f t="shared" si="8"/>
        <v>52</v>
      </c>
    </row>
    <row r="45" spans="1:31" ht="15.75" customHeight="1" x14ac:dyDescent="0.2">
      <c r="A45" s="56">
        <v>2</v>
      </c>
      <c r="B45" s="56" t="s">
        <v>158</v>
      </c>
      <c r="C45" s="56" t="s">
        <v>167</v>
      </c>
      <c r="D45" s="57" t="s">
        <v>224</v>
      </c>
      <c r="E45" s="58" t="s">
        <v>404</v>
      </c>
      <c r="F45" s="56" t="s">
        <v>225</v>
      </c>
      <c r="G45" s="56">
        <v>1</v>
      </c>
      <c r="H45" s="56" t="s">
        <v>226</v>
      </c>
      <c r="I45" s="56">
        <v>150</v>
      </c>
      <c r="J45" s="56">
        <v>0.5</v>
      </c>
      <c r="K45" s="56"/>
      <c r="L45" s="69">
        <f t="shared" si="13"/>
        <v>0.5</v>
      </c>
      <c r="M45" s="56">
        <f t="shared" si="14"/>
        <v>75</v>
      </c>
      <c r="N45" s="59"/>
      <c r="O45" s="56"/>
      <c r="P45" s="56">
        <f t="shared" si="1"/>
        <v>0</v>
      </c>
      <c r="Q45" s="56"/>
      <c r="R45" s="56">
        <f t="shared" si="2"/>
        <v>0</v>
      </c>
      <c r="S45" s="56"/>
      <c r="T45" s="56">
        <f t="shared" si="10"/>
        <v>0</v>
      </c>
      <c r="U45" s="59"/>
      <c r="V45" s="56">
        <f t="shared" si="4"/>
        <v>0</v>
      </c>
      <c r="W45" s="50"/>
      <c r="X45" s="50">
        <f t="shared" si="5"/>
        <v>0</v>
      </c>
      <c r="Y45" s="50"/>
      <c r="Z45" s="50">
        <f t="shared" si="11"/>
        <v>0</v>
      </c>
      <c r="AA45" s="50"/>
      <c r="AB45" s="50">
        <f t="shared" si="12"/>
        <v>0</v>
      </c>
      <c r="AC45" s="50"/>
      <c r="AD45" s="50">
        <f t="shared" si="8"/>
        <v>0</v>
      </c>
    </row>
    <row r="46" spans="1:31" ht="15.75" customHeight="1" x14ac:dyDescent="0.2">
      <c r="A46" s="56">
        <v>3</v>
      </c>
      <c r="B46" s="56" t="s">
        <v>158</v>
      </c>
      <c r="C46" s="62" t="s">
        <v>233</v>
      </c>
      <c r="D46" s="58" t="s">
        <v>17</v>
      </c>
      <c r="E46" s="60" t="s">
        <v>424</v>
      </c>
      <c r="F46" s="56" t="s">
        <v>21</v>
      </c>
      <c r="G46" s="56">
        <v>1</v>
      </c>
      <c r="H46" s="56" t="s">
        <v>22</v>
      </c>
      <c r="I46" s="56">
        <v>150</v>
      </c>
      <c r="J46" s="56">
        <v>1</v>
      </c>
      <c r="K46" s="56"/>
      <c r="L46" s="69">
        <f t="shared" si="13"/>
        <v>1</v>
      </c>
      <c r="M46" s="56">
        <f t="shared" si="14"/>
        <v>150</v>
      </c>
      <c r="N46" s="59"/>
      <c r="O46" s="56"/>
      <c r="P46" s="56">
        <f t="shared" si="1"/>
        <v>0</v>
      </c>
      <c r="Q46" s="56"/>
      <c r="R46" s="56">
        <f t="shared" si="2"/>
        <v>0</v>
      </c>
      <c r="S46" s="56"/>
      <c r="T46" s="56">
        <f t="shared" si="10"/>
        <v>0</v>
      </c>
      <c r="U46" s="59"/>
      <c r="V46" s="56">
        <f t="shared" si="4"/>
        <v>0</v>
      </c>
      <c r="W46" s="50"/>
      <c r="X46" s="50">
        <f t="shared" si="5"/>
        <v>0</v>
      </c>
      <c r="Y46" s="50"/>
      <c r="Z46" s="50">
        <f t="shared" si="11"/>
        <v>0</v>
      </c>
      <c r="AA46" s="50"/>
      <c r="AB46" s="50">
        <f t="shared" si="12"/>
        <v>0</v>
      </c>
      <c r="AC46" s="50"/>
      <c r="AD46" s="50">
        <f t="shared" si="8"/>
        <v>0</v>
      </c>
    </row>
    <row r="47" spans="1:31" ht="15.75" customHeight="1" x14ac:dyDescent="0.2">
      <c r="A47" s="56">
        <v>3</v>
      </c>
      <c r="B47" s="56" t="s">
        <v>158</v>
      </c>
      <c r="C47" s="62" t="s">
        <v>233</v>
      </c>
      <c r="D47" s="58" t="s">
        <v>44</v>
      </c>
      <c r="E47" s="60" t="s">
        <v>424</v>
      </c>
      <c r="F47" s="56" t="s">
        <v>21</v>
      </c>
      <c r="G47" s="56">
        <v>1</v>
      </c>
      <c r="H47" s="56" t="s">
        <v>22</v>
      </c>
      <c r="I47" s="56">
        <v>150</v>
      </c>
      <c r="J47" s="56">
        <v>1</v>
      </c>
      <c r="K47" s="56"/>
      <c r="L47" s="69">
        <f t="shared" si="13"/>
        <v>1</v>
      </c>
      <c r="M47" s="56">
        <f t="shared" si="14"/>
        <v>150</v>
      </c>
      <c r="N47" s="59"/>
      <c r="O47" s="56"/>
      <c r="P47" s="56">
        <f t="shared" si="1"/>
        <v>0</v>
      </c>
      <c r="Q47" s="56"/>
      <c r="R47" s="56">
        <f t="shared" si="2"/>
        <v>0</v>
      </c>
      <c r="S47" s="56"/>
      <c r="T47" s="56">
        <f t="shared" si="10"/>
        <v>0</v>
      </c>
      <c r="U47" s="59"/>
      <c r="V47" s="56">
        <f t="shared" si="4"/>
        <v>0</v>
      </c>
      <c r="W47" s="50"/>
      <c r="X47" s="50">
        <f t="shared" si="5"/>
        <v>0</v>
      </c>
      <c r="Y47" s="50"/>
      <c r="Z47" s="50">
        <f t="shared" si="11"/>
        <v>0</v>
      </c>
      <c r="AA47" s="50"/>
      <c r="AB47" s="50">
        <f t="shared" si="12"/>
        <v>0</v>
      </c>
      <c r="AC47" s="50"/>
      <c r="AD47" s="50">
        <f t="shared" si="8"/>
        <v>0</v>
      </c>
    </row>
    <row r="48" spans="1:31" ht="15.75" customHeight="1" x14ac:dyDescent="0.2">
      <c r="A48" s="56">
        <v>3</v>
      </c>
      <c r="B48" s="56" t="s">
        <v>158</v>
      </c>
      <c r="C48" s="62" t="s">
        <v>233</v>
      </c>
      <c r="D48" s="58" t="s">
        <v>44</v>
      </c>
      <c r="E48" s="58" t="s">
        <v>23</v>
      </c>
      <c r="F48" s="56" t="s">
        <v>62</v>
      </c>
      <c r="G48" s="56">
        <f>1/8</f>
        <v>0.125</v>
      </c>
      <c r="H48" s="56" t="s">
        <v>53</v>
      </c>
      <c r="I48" s="56">
        <v>30</v>
      </c>
      <c r="J48" s="56">
        <v>1</v>
      </c>
      <c r="K48" s="56"/>
      <c r="L48" s="69">
        <f t="shared" si="13"/>
        <v>1</v>
      </c>
      <c r="M48" s="56">
        <f t="shared" si="14"/>
        <v>30</v>
      </c>
      <c r="N48" s="59"/>
      <c r="O48" s="56">
        <v>53</v>
      </c>
      <c r="P48" s="56">
        <f t="shared" si="1"/>
        <v>53</v>
      </c>
      <c r="Q48" s="56">
        <v>0.6</v>
      </c>
      <c r="R48" s="56">
        <f t="shared" si="2"/>
        <v>0.6</v>
      </c>
      <c r="S48" s="56">
        <v>2.2000000000000002</v>
      </c>
      <c r="T48" s="56">
        <f t="shared" si="10"/>
        <v>2.2000000000000002</v>
      </c>
      <c r="U48" s="59">
        <v>4.5999999999999996</v>
      </c>
      <c r="V48" s="56">
        <f t="shared" si="4"/>
        <v>4.5999999999999996</v>
      </c>
      <c r="W48" s="50">
        <v>1.5</v>
      </c>
      <c r="X48" s="50">
        <f t="shared" si="5"/>
        <v>1.5</v>
      </c>
      <c r="Y48" s="50">
        <v>3</v>
      </c>
      <c r="Z48" s="50">
        <f t="shared" si="11"/>
        <v>3</v>
      </c>
      <c r="AA48" s="50">
        <v>0.3</v>
      </c>
      <c r="AB48" s="50">
        <f t="shared" si="12"/>
        <v>0.3</v>
      </c>
      <c r="AC48" s="50">
        <v>3</v>
      </c>
      <c r="AD48" s="50">
        <f t="shared" si="8"/>
        <v>3</v>
      </c>
    </row>
    <row r="49" spans="1:31" ht="15.75" customHeight="1" x14ac:dyDescent="0.2">
      <c r="A49" s="56">
        <v>3</v>
      </c>
      <c r="B49" s="56" t="s">
        <v>158</v>
      </c>
      <c r="C49" s="62" t="s">
        <v>233</v>
      </c>
      <c r="D49" s="57" t="s">
        <v>236</v>
      </c>
      <c r="E49" s="58" t="s">
        <v>426</v>
      </c>
      <c r="F49" s="56" t="s">
        <v>111</v>
      </c>
      <c r="G49" s="56">
        <v>1</v>
      </c>
      <c r="H49" s="56" t="s">
        <v>103</v>
      </c>
      <c r="I49" s="56">
        <v>30</v>
      </c>
      <c r="J49" s="56">
        <v>1</v>
      </c>
      <c r="K49" s="56"/>
      <c r="L49" s="69">
        <f t="shared" si="13"/>
        <v>1</v>
      </c>
      <c r="M49" s="56">
        <f t="shared" si="14"/>
        <v>30</v>
      </c>
      <c r="N49" s="59"/>
      <c r="O49" s="56">
        <v>56</v>
      </c>
      <c r="P49" s="56">
        <f t="shared" si="1"/>
        <v>56</v>
      </c>
      <c r="Q49" s="56">
        <v>1.5</v>
      </c>
      <c r="R49" s="56">
        <v>1.5</v>
      </c>
      <c r="S49" s="56">
        <v>2.2000000000000002</v>
      </c>
      <c r="T49" s="56">
        <f t="shared" si="10"/>
        <v>2.2000000000000002</v>
      </c>
      <c r="U49" s="59">
        <v>4.5999999999999996</v>
      </c>
      <c r="V49" s="56">
        <f t="shared" si="4"/>
        <v>4.5999999999999996</v>
      </c>
      <c r="W49" s="50">
        <v>1.2</v>
      </c>
      <c r="X49" s="50">
        <f t="shared" si="5"/>
        <v>1.2</v>
      </c>
      <c r="Y49" s="50">
        <v>25</v>
      </c>
      <c r="Z49" s="50">
        <f t="shared" si="11"/>
        <v>25</v>
      </c>
      <c r="AA49" s="50">
        <v>0.3</v>
      </c>
      <c r="AB49" s="50">
        <f t="shared" si="12"/>
        <v>0.3</v>
      </c>
      <c r="AC49" s="50">
        <v>1</v>
      </c>
      <c r="AD49" s="50">
        <f t="shared" si="8"/>
        <v>1</v>
      </c>
    </row>
    <row r="50" spans="1:31" ht="15.75" customHeight="1" x14ac:dyDescent="0.2">
      <c r="A50" s="56">
        <v>3</v>
      </c>
      <c r="B50" s="56" t="s">
        <v>158</v>
      </c>
      <c r="C50" s="62" t="s">
        <v>233</v>
      </c>
      <c r="D50" s="58" t="s">
        <v>97</v>
      </c>
      <c r="E50" s="58" t="s">
        <v>426</v>
      </c>
      <c r="F50" s="56" t="s">
        <v>111</v>
      </c>
      <c r="G50" s="56">
        <v>1</v>
      </c>
      <c r="H50" s="56" t="s">
        <v>103</v>
      </c>
      <c r="I50" s="56">
        <v>30</v>
      </c>
      <c r="J50" s="56">
        <v>1</v>
      </c>
      <c r="K50" s="56"/>
      <c r="L50" s="69">
        <f t="shared" si="13"/>
        <v>1</v>
      </c>
      <c r="M50" s="56">
        <f t="shared" si="14"/>
        <v>30</v>
      </c>
      <c r="N50" s="59"/>
      <c r="O50" s="56">
        <v>56</v>
      </c>
      <c r="P50" s="56">
        <f t="shared" si="1"/>
        <v>56</v>
      </c>
      <c r="Q50" s="56">
        <v>1.5</v>
      </c>
      <c r="R50" s="56">
        <f t="shared" ref="R50:R81" si="15">(Q50*M50)/I50</f>
        <v>1.5</v>
      </c>
      <c r="S50" s="56">
        <v>2.2000000000000002</v>
      </c>
      <c r="T50" s="56">
        <f t="shared" si="10"/>
        <v>2.2000000000000002</v>
      </c>
      <c r="U50" s="59">
        <v>4.5999999999999996</v>
      </c>
      <c r="V50" s="56">
        <f t="shared" si="4"/>
        <v>4.5999999999999996</v>
      </c>
      <c r="W50" s="50">
        <v>1.2</v>
      </c>
      <c r="X50" s="50">
        <f t="shared" si="5"/>
        <v>1.2</v>
      </c>
      <c r="Y50" s="50">
        <v>25</v>
      </c>
      <c r="Z50" s="50">
        <f t="shared" si="11"/>
        <v>25</v>
      </c>
      <c r="AA50" s="50">
        <v>0.3</v>
      </c>
      <c r="AB50" s="50">
        <f t="shared" si="12"/>
        <v>0.3</v>
      </c>
      <c r="AC50" s="50">
        <v>1</v>
      </c>
      <c r="AD50" s="50">
        <f t="shared" si="8"/>
        <v>1</v>
      </c>
    </row>
    <row r="51" spans="1:31" ht="15.75" customHeight="1" x14ac:dyDescent="0.2">
      <c r="A51" s="56">
        <v>3</v>
      </c>
      <c r="B51" s="56" t="s">
        <v>158</v>
      </c>
      <c r="C51" s="62" t="s">
        <v>233</v>
      </c>
      <c r="D51" s="60" t="s">
        <v>74</v>
      </c>
      <c r="E51" s="58" t="s">
        <v>418</v>
      </c>
      <c r="F51" s="56" t="s">
        <v>93</v>
      </c>
      <c r="G51" s="56">
        <v>1</v>
      </c>
      <c r="H51" s="56" t="s">
        <v>94</v>
      </c>
      <c r="I51" s="56">
        <v>100</v>
      </c>
      <c r="J51" s="56">
        <v>0.2</v>
      </c>
      <c r="K51" s="56"/>
      <c r="L51" s="69">
        <f t="shared" si="13"/>
        <v>0.2</v>
      </c>
      <c r="M51" s="56">
        <f t="shared" si="14"/>
        <v>20</v>
      </c>
      <c r="N51" s="59" t="s">
        <v>419</v>
      </c>
      <c r="O51" s="56"/>
      <c r="P51" s="56">
        <f t="shared" si="1"/>
        <v>0</v>
      </c>
      <c r="Q51" s="56"/>
      <c r="R51" s="56">
        <f t="shared" si="15"/>
        <v>0</v>
      </c>
      <c r="S51" s="56"/>
      <c r="T51" s="56">
        <f t="shared" si="10"/>
        <v>0</v>
      </c>
      <c r="U51" s="59"/>
      <c r="V51" s="56">
        <f t="shared" si="4"/>
        <v>0</v>
      </c>
      <c r="W51" s="50"/>
      <c r="X51" s="50">
        <f t="shared" si="5"/>
        <v>0</v>
      </c>
      <c r="Y51" s="50"/>
      <c r="Z51" s="50">
        <f t="shared" si="11"/>
        <v>0</v>
      </c>
      <c r="AA51" s="50"/>
      <c r="AB51" s="50">
        <f t="shared" si="12"/>
        <v>0</v>
      </c>
      <c r="AC51" s="50"/>
      <c r="AD51" s="50">
        <f t="shared" si="8"/>
        <v>0</v>
      </c>
      <c r="AE51" t="s">
        <v>414</v>
      </c>
    </row>
    <row r="52" spans="1:31" ht="15.75" customHeight="1" x14ac:dyDescent="0.2">
      <c r="A52" s="56">
        <v>3</v>
      </c>
      <c r="B52" s="56" t="s">
        <v>158</v>
      </c>
      <c r="C52" s="62" t="s">
        <v>233</v>
      </c>
      <c r="D52" s="58" t="s">
        <v>17</v>
      </c>
      <c r="E52" s="60" t="s">
        <v>410</v>
      </c>
      <c r="F52" s="56" t="s">
        <v>26</v>
      </c>
      <c r="G52" s="56">
        <v>1</v>
      </c>
      <c r="H52" s="56" t="s">
        <v>35</v>
      </c>
      <c r="I52" s="56">
        <v>52</v>
      </c>
      <c r="J52" s="56">
        <v>1</v>
      </c>
      <c r="K52" s="56"/>
      <c r="L52" s="69">
        <f t="shared" si="13"/>
        <v>1</v>
      </c>
      <c r="M52" s="56">
        <f t="shared" si="14"/>
        <v>52</v>
      </c>
      <c r="N52" s="61" t="s">
        <v>411</v>
      </c>
      <c r="O52" s="56">
        <v>102</v>
      </c>
      <c r="P52" s="56">
        <f t="shared" si="1"/>
        <v>102</v>
      </c>
      <c r="Q52" s="56">
        <v>2.1</v>
      </c>
      <c r="R52" s="56">
        <f t="shared" si="15"/>
        <v>2.1</v>
      </c>
      <c r="S52" s="56">
        <v>22.5</v>
      </c>
      <c r="T52" s="56">
        <f t="shared" si="10"/>
        <v>22.5</v>
      </c>
      <c r="U52" s="59">
        <v>0.3</v>
      </c>
      <c r="V52" s="56">
        <f t="shared" si="4"/>
        <v>0.3</v>
      </c>
      <c r="W52" s="50">
        <v>0.3</v>
      </c>
      <c r="X52" s="50">
        <f t="shared" si="5"/>
        <v>0.3</v>
      </c>
      <c r="Y52" s="50">
        <v>2</v>
      </c>
      <c r="Z52" s="50">
        <f t="shared" si="11"/>
        <v>2</v>
      </c>
      <c r="AA52" s="50">
        <v>0.4</v>
      </c>
      <c r="AB52" s="50">
        <f t="shared" si="12"/>
        <v>0.4</v>
      </c>
      <c r="AC52" s="50">
        <v>1</v>
      </c>
      <c r="AD52" s="50">
        <f t="shared" si="8"/>
        <v>1</v>
      </c>
    </row>
    <row r="53" spans="1:31" ht="15.75" customHeight="1" x14ac:dyDescent="0.2">
      <c r="A53" s="56">
        <v>3</v>
      </c>
      <c r="B53" s="56" t="s">
        <v>158</v>
      </c>
      <c r="C53" s="62" t="s">
        <v>233</v>
      </c>
      <c r="D53" s="60" t="s">
        <v>74</v>
      </c>
      <c r="E53" s="58" t="s">
        <v>408</v>
      </c>
      <c r="F53" s="56" t="s">
        <v>84</v>
      </c>
      <c r="G53" s="56">
        <v>1</v>
      </c>
      <c r="H53" s="56" t="s">
        <v>56</v>
      </c>
      <c r="I53" s="56">
        <v>157</v>
      </c>
      <c r="J53" s="56">
        <v>1</v>
      </c>
      <c r="K53" s="56"/>
      <c r="L53" s="69">
        <f t="shared" si="13"/>
        <v>1</v>
      </c>
      <c r="M53" s="56">
        <f t="shared" si="14"/>
        <v>157</v>
      </c>
      <c r="N53" s="59"/>
      <c r="O53" s="56">
        <v>190</v>
      </c>
      <c r="P53" s="56">
        <f t="shared" si="1"/>
        <v>190</v>
      </c>
      <c r="Q53" s="56">
        <v>13</v>
      </c>
      <c r="R53" s="56">
        <f t="shared" si="15"/>
        <v>13</v>
      </c>
      <c r="S53" s="56">
        <v>33.1</v>
      </c>
      <c r="T53" s="56">
        <f t="shared" si="10"/>
        <v>33.1</v>
      </c>
      <c r="U53" s="59">
        <v>0.6</v>
      </c>
      <c r="V53" s="56">
        <f t="shared" si="4"/>
        <v>0.6</v>
      </c>
      <c r="W53" s="50">
        <v>13</v>
      </c>
      <c r="X53" s="50">
        <f t="shared" si="5"/>
        <v>13</v>
      </c>
      <c r="Y53" s="50">
        <v>22</v>
      </c>
      <c r="Z53" s="50">
        <f t="shared" si="11"/>
        <v>22</v>
      </c>
      <c r="AA53" s="50">
        <v>2</v>
      </c>
      <c r="AB53" s="50">
        <f t="shared" si="12"/>
        <v>2</v>
      </c>
      <c r="AC53" s="50">
        <v>3</v>
      </c>
      <c r="AD53" s="50">
        <f t="shared" si="8"/>
        <v>3</v>
      </c>
    </row>
    <row r="54" spans="1:31" ht="15.75" customHeight="1" x14ac:dyDescent="0.2">
      <c r="A54" s="56">
        <v>3</v>
      </c>
      <c r="B54" s="56" t="s">
        <v>158</v>
      </c>
      <c r="C54" s="62" t="s">
        <v>233</v>
      </c>
      <c r="D54" s="60" t="s">
        <v>74</v>
      </c>
      <c r="E54" s="58" t="s">
        <v>36</v>
      </c>
      <c r="F54" s="56" t="s">
        <v>81</v>
      </c>
      <c r="G54" s="56">
        <v>1</v>
      </c>
      <c r="H54" s="56" t="s">
        <v>29</v>
      </c>
      <c r="I54" s="56">
        <v>100</v>
      </c>
      <c r="J54" s="56">
        <v>1</v>
      </c>
      <c r="K54" s="56"/>
      <c r="L54" s="69">
        <f t="shared" si="13"/>
        <v>1</v>
      </c>
      <c r="M54" s="56">
        <f t="shared" si="14"/>
        <v>100</v>
      </c>
      <c r="N54" s="59"/>
      <c r="O54" s="56">
        <v>137</v>
      </c>
      <c r="P54" s="56">
        <f t="shared" si="1"/>
        <v>137</v>
      </c>
      <c r="Q54" s="56">
        <v>21.4</v>
      </c>
      <c r="R54" s="56">
        <f t="shared" si="15"/>
        <v>21.4</v>
      </c>
      <c r="S54" s="56">
        <v>0</v>
      </c>
      <c r="T54" s="56">
        <f t="shared" si="10"/>
        <v>0</v>
      </c>
      <c r="U54" s="59">
        <v>5.7</v>
      </c>
      <c r="V54" s="56">
        <f t="shared" si="4"/>
        <v>5.7</v>
      </c>
      <c r="W54" s="50">
        <v>0</v>
      </c>
      <c r="X54" s="50">
        <f t="shared" si="5"/>
        <v>0</v>
      </c>
      <c r="Y54" s="50">
        <v>17</v>
      </c>
      <c r="Z54" s="50">
        <f t="shared" si="11"/>
        <v>17</v>
      </c>
      <c r="AA54" s="50">
        <v>0.8</v>
      </c>
      <c r="AB54" s="50">
        <f t="shared" si="12"/>
        <v>0.8</v>
      </c>
      <c r="AC54" s="50">
        <v>52</v>
      </c>
      <c r="AD54" s="50">
        <f t="shared" si="8"/>
        <v>52</v>
      </c>
    </row>
    <row r="55" spans="1:31" ht="15.75" customHeight="1" x14ac:dyDescent="0.2">
      <c r="A55" s="56">
        <v>3</v>
      </c>
      <c r="B55" s="56" t="s">
        <v>158</v>
      </c>
      <c r="C55" s="62" t="s">
        <v>233</v>
      </c>
      <c r="D55" s="60" t="s">
        <v>74</v>
      </c>
      <c r="E55" s="58" t="s">
        <v>418</v>
      </c>
      <c r="F55" s="56" t="s">
        <v>234</v>
      </c>
      <c r="G55" s="56">
        <v>4</v>
      </c>
      <c r="H55" s="56" t="s">
        <v>235</v>
      </c>
      <c r="I55" s="56">
        <v>32</v>
      </c>
      <c r="J55" s="56">
        <v>0.5</v>
      </c>
      <c r="K55" s="56"/>
      <c r="L55" s="69">
        <f t="shared" si="13"/>
        <v>0.5</v>
      </c>
      <c r="M55" s="56">
        <f t="shared" si="14"/>
        <v>16</v>
      </c>
      <c r="N55" s="59"/>
      <c r="O55" s="56">
        <v>13</v>
      </c>
      <c r="P55" s="56">
        <f t="shared" si="1"/>
        <v>6.5</v>
      </c>
      <c r="Q55" s="56">
        <v>0.4</v>
      </c>
      <c r="R55" s="56">
        <f t="shared" si="15"/>
        <v>0.2</v>
      </c>
      <c r="S55" s="56">
        <v>2.8</v>
      </c>
      <c r="T55" s="56">
        <f t="shared" si="10"/>
        <v>1.4</v>
      </c>
      <c r="U55" s="59">
        <v>0.1</v>
      </c>
      <c r="V55" s="56">
        <f t="shared" si="4"/>
        <v>0.05</v>
      </c>
      <c r="W55" s="50">
        <v>0.6</v>
      </c>
      <c r="X55" s="50">
        <f t="shared" si="5"/>
        <v>0.3</v>
      </c>
      <c r="Y55" s="50">
        <v>6</v>
      </c>
      <c r="Z55" s="50">
        <f t="shared" si="11"/>
        <v>3</v>
      </c>
      <c r="AA55" s="50">
        <v>0.1</v>
      </c>
      <c r="AB55" s="50">
        <f t="shared" si="12"/>
        <v>0.05</v>
      </c>
      <c r="AC55" s="50">
        <v>1</v>
      </c>
      <c r="AD55" s="50">
        <f t="shared" si="8"/>
        <v>0.5</v>
      </c>
    </row>
    <row r="56" spans="1:31" ht="15.75" customHeight="1" x14ac:dyDescent="0.2">
      <c r="A56" s="56">
        <v>3</v>
      </c>
      <c r="B56" s="56" t="s">
        <v>158</v>
      </c>
      <c r="C56" s="62" t="s">
        <v>233</v>
      </c>
      <c r="D56" s="57" t="s">
        <v>236</v>
      </c>
      <c r="E56" s="58" t="s">
        <v>18</v>
      </c>
      <c r="F56" s="56" t="s">
        <v>120</v>
      </c>
      <c r="G56" s="56">
        <v>9</v>
      </c>
      <c r="H56" s="56" t="s">
        <v>20</v>
      </c>
      <c r="I56" s="56">
        <v>161</v>
      </c>
      <c r="J56" s="56"/>
      <c r="K56" s="56">
        <v>6</v>
      </c>
      <c r="L56" s="69">
        <f t="shared" si="13"/>
        <v>0.66666666666666663</v>
      </c>
      <c r="M56" s="56">
        <f t="shared" si="14"/>
        <v>107.33333333333333</v>
      </c>
      <c r="N56" s="59"/>
      <c r="O56" s="56">
        <v>55</v>
      </c>
      <c r="P56" s="56">
        <f t="shared" si="1"/>
        <v>36.666666666666664</v>
      </c>
      <c r="Q56" s="56">
        <v>1.3</v>
      </c>
      <c r="R56" s="56">
        <f t="shared" si="15"/>
        <v>0.8666666666666667</v>
      </c>
      <c r="S56" s="56">
        <v>11.1</v>
      </c>
      <c r="T56" s="56">
        <f t="shared" si="10"/>
        <v>7.3999999999999995</v>
      </c>
      <c r="U56" s="59">
        <v>0.6</v>
      </c>
      <c r="V56" s="56">
        <f t="shared" si="4"/>
        <v>0.39999999999999997</v>
      </c>
      <c r="W56" s="50">
        <v>3.7</v>
      </c>
      <c r="X56" s="50">
        <f t="shared" si="5"/>
        <v>2.4666666666666668</v>
      </c>
      <c r="Y56" s="50">
        <v>45</v>
      </c>
      <c r="Z56" s="50">
        <f t="shared" si="11"/>
        <v>30</v>
      </c>
      <c r="AA56" s="50">
        <v>1.3</v>
      </c>
      <c r="AB56" s="50">
        <f t="shared" si="12"/>
        <v>0.8666666666666667</v>
      </c>
      <c r="AC56" s="50">
        <v>2</v>
      </c>
      <c r="AD56" s="50">
        <f t="shared" si="8"/>
        <v>1.3333333333333333</v>
      </c>
    </row>
    <row r="57" spans="1:31" ht="15.75" customHeight="1" x14ac:dyDescent="0.2">
      <c r="A57" s="56">
        <v>3</v>
      </c>
      <c r="B57" s="56" t="s">
        <v>158</v>
      </c>
      <c r="C57" s="62" t="s">
        <v>233</v>
      </c>
      <c r="D57" s="58" t="s">
        <v>97</v>
      </c>
      <c r="E57" s="58" t="s">
        <v>18</v>
      </c>
      <c r="F57" s="56" t="s">
        <v>120</v>
      </c>
      <c r="G57" s="56">
        <v>9</v>
      </c>
      <c r="H57" s="56" t="s">
        <v>20</v>
      </c>
      <c r="I57" s="56">
        <v>161</v>
      </c>
      <c r="J57" s="56"/>
      <c r="K57" s="56">
        <v>6</v>
      </c>
      <c r="L57" s="69">
        <f t="shared" si="13"/>
        <v>0.66666666666666663</v>
      </c>
      <c r="M57" s="56">
        <f t="shared" si="14"/>
        <v>107.33333333333333</v>
      </c>
      <c r="N57" s="59"/>
      <c r="O57" s="56">
        <v>55</v>
      </c>
      <c r="P57" s="56">
        <f t="shared" si="1"/>
        <v>36.666666666666664</v>
      </c>
      <c r="Q57" s="56">
        <v>1.3</v>
      </c>
      <c r="R57" s="56">
        <f t="shared" si="15"/>
        <v>0.8666666666666667</v>
      </c>
      <c r="S57" s="56">
        <v>11.1</v>
      </c>
      <c r="T57" s="56">
        <f t="shared" si="10"/>
        <v>7.3999999999999995</v>
      </c>
      <c r="U57" s="59">
        <v>0.6</v>
      </c>
      <c r="V57" s="56">
        <f t="shared" si="4"/>
        <v>0.39999999999999997</v>
      </c>
      <c r="W57" s="50">
        <v>3.7</v>
      </c>
      <c r="X57" s="50">
        <f t="shared" si="5"/>
        <v>2.4666666666666668</v>
      </c>
      <c r="Y57" s="50">
        <v>45</v>
      </c>
      <c r="Z57" s="50">
        <f t="shared" si="11"/>
        <v>30</v>
      </c>
      <c r="AA57" s="50">
        <v>1.3</v>
      </c>
      <c r="AB57" s="50">
        <f t="shared" si="12"/>
        <v>0.8666666666666667</v>
      </c>
      <c r="AC57" s="50">
        <v>2</v>
      </c>
      <c r="AD57" s="50">
        <f t="shared" si="8"/>
        <v>1.3333333333333333</v>
      </c>
    </row>
    <row r="58" spans="1:31" ht="15.75" customHeight="1" x14ac:dyDescent="0.2">
      <c r="A58" s="56">
        <v>3</v>
      </c>
      <c r="B58" s="56" t="s">
        <v>158</v>
      </c>
      <c r="C58" s="62" t="s">
        <v>233</v>
      </c>
      <c r="D58" s="58" t="s">
        <v>17</v>
      </c>
      <c r="E58" s="58" t="s">
        <v>406</v>
      </c>
      <c r="F58" s="69" t="s">
        <v>28</v>
      </c>
      <c r="G58" s="56">
        <v>1</v>
      </c>
      <c r="H58" s="56" t="s">
        <v>29</v>
      </c>
      <c r="I58" s="56">
        <v>50</v>
      </c>
      <c r="J58" s="56">
        <v>2</v>
      </c>
      <c r="K58" s="56"/>
      <c r="L58" s="69">
        <f t="shared" si="13"/>
        <v>2</v>
      </c>
      <c r="M58" s="56">
        <f t="shared" si="14"/>
        <v>100</v>
      </c>
      <c r="N58" s="59" t="s">
        <v>431</v>
      </c>
      <c r="O58" s="56">
        <v>77.5</v>
      </c>
      <c r="P58" s="56">
        <f t="shared" si="1"/>
        <v>155</v>
      </c>
      <c r="Q58" s="56">
        <v>6.3</v>
      </c>
      <c r="R58" s="56">
        <f t="shared" si="15"/>
        <v>12.6</v>
      </c>
      <c r="S58" s="56">
        <v>0.55000000000000004</v>
      </c>
      <c r="T58" s="56">
        <f t="shared" si="10"/>
        <v>1.1000000000000001</v>
      </c>
      <c r="U58" s="59">
        <v>5.3</v>
      </c>
      <c r="V58" s="56">
        <f t="shared" si="4"/>
        <v>10.6</v>
      </c>
      <c r="W58" s="50">
        <v>0</v>
      </c>
      <c r="X58" s="50">
        <f t="shared" si="5"/>
        <v>0</v>
      </c>
      <c r="Y58" s="50">
        <v>25</v>
      </c>
      <c r="Z58" s="50">
        <f t="shared" si="11"/>
        <v>50</v>
      </c>
      <c r="AA58" s="50">
        <v>0.6</v>
      </c>
      <c r="AB58" s="50">
        <f t="shared" si="12"/>
        <v>1.2</v>
      </c>
      <c r="AC58" s="50">
        <v>62</v>
      </c>
      <c r="AD58" s="50">
        <f t="shared" si="8"/>
        <v>124</v>
      </c>
    </row>
    <row r="59" spans="1:31" ht="15.75" customHeight="1" x14ac:dyDescent="0.2">
      <c r="A59" s="56">
        <v>3</v>
      </c>
      <c r="B59" s="56" t="s">
        <v>158</v>
      </c>
      <c r="C59" s="62" t="s">
        <v>233</v>
      </c>
      <c r="D59" s="57" t="s">
        <v>236</v>
      </c>
      <c r="E59" s="58" t="s">
        <v>18</v>
      </c>
      <c r="F59" s="56" t="s">
        <v>114</v>
      </c>
      <c r="G59" s="56">
        <v>1</v>
      </c>
      <c r="H59" s="56" t="s">
        <v>53</v>
      </c>
      <c r="I59" s="56">
        <v>82</v>
      </c>
      <c r="J59" s="56">
        <v>1</v>
      </c>
      <c r="K59" s="56"/>
      <c r="L59" s="69">
        <f t="shared" si="13"/>
        <v>1</v>
      </c>
      <c r="M59" s="56">
        <f t="shared" si="14"/>
        <v>82</v>
      </c>
      <c r="N59" s="59"/>
      <c r="O59" s="56">
        <v>55</v>
      </c>
      <c r="P59" s="56">
        <f t="shared" si="1"/>
        <v>55</v>
      </c>
      <c r="Q59" s="56">
        <v>0.8</v>
      </c>
      <c r="R59" s="56">
        <f t="shared" si="15"/>
        <v>0.80000000000000016</v>
      </c>
      <c r="S59" s="56">
        <v>12.2</v>
      </c>
      <c r="T59" s="56">
        <f t="shared" si="10"/>
        <v>12.2</v>
      </c>
      <c r="U59" s="59">
        <v>0.3</v>
      </c>
      <c r="V59" s="56">
        <f t="shared" si="4"/>
        <v>0.3</v>
      </c>
      <c r="W59" s="50">
        <v>2.8</v>
      </c>
      <c r="X59" s="50">
        <f t="shared" si="5"/>
        <v>2.8</v>
      </c>
      <c r="Y59" s="50">
        <v>21</v>
      </c>
      <c r="Z59" s="50">
        <f t="shared" si="11"/>
        <v>21</v>
      </c>
      <c r="AA59" s="50">
        <v>0.3</v>
      </c>
      <c r="AB59" s="50">
        <f t="shared" si="12"/>
        <v>0.3</v>
      </c>
      <c r="AC59" s="50">
        <v>4</v>
      </c>
      <c r="AD59" s="50">
        <f t="shared" si="8"/>
        <v>4</v>
      </c>
    </row>
    <row r="60" spans="1:31" ht="15.75" customHeight="1" x14ac:dyDescent="0.2">
      <c r="A60" s="56">
        <v>3</v>
      </c>
      <c r="B60" s="56" t="s">
        <v>158</v>
      </c>
      <c r="C60" s="62" t="s">
        <v>233</v>
      </c>
      <c r="D60" s="58" t="s">
        <v>97</v>
      </c>
      <c r="E60" s="58" t="s">
        <v>18</v>
      </c>
      <c r="F60" s="56" t="s">
        <v>114</v>
      </c>
      <c r="G60" s="56">
        <v>1</v>
      </c>
      <c r="H60" s="56" t="s">
        <v>53</v>
      </c>
      <c r="I60" s="56">
        <v>82</v>
      </c>
      <c r="J60" s="56">
        <v>1</v>
      </c>
      <c r="K60" s="56"/>
      <c r="L60" s="69">
        <f t="shared" si="13"/>
        <v>1</v>
      </c>
      <c r="M60" s="56">
        <f t="shared" si="14"/>
        <v>82</v>
      </c>
      <c r="N60" s="59"/>
      <c r="O60" s="56">
        <v>55</v>
      </c>
      <c r="P60" s="56">
        <f t="shared" si="1"/>
        <v>55</v>
      </c>
      <c r="Q60" s="56">
        <v>0.8</v>
      </c>
      <c r="R60" s="56">
        <f t="shared" si="15"/>
        <v>0.80000000000000016</v>
      </c>
      <c r="S60" s="56">
        <v>12.2</v>
      </c>
      <c r="T60" s="56">
        <f t="shared" si="10"/>
        <v>12.2</v>
      </c>
      <c r="U60" s="59">
        <v>0.3</v>
      </c>
      <c r="V60" s="56">
        <f t="shared" si="4"/>
        <v>0.3</v>
      </c>
      <c r="W60" s="50">
        <v>2.8</v>
      </c>
      <c r="X60" s="50">
        <f t="shared" si="5"/>
        <v>2.8</v>
      </c>
      <c r="Y60" s="50">
        <v>21</v>
      </c>
      <c r="Z60" s="50">
        <f t="shared" si="11"/>
        <v>21</v>
      </c>
      <c r="AA60" s="50">
        <v>0.3</v>
      </c>
      <c r="AB60" s="50">
        <f t="shared" si="12"/>
        <v>0.3</v>
      </c>
      <c r="AC60" s="50">
        <v>4</v>
      </c>
      <c r="AD60" s="50">
        <f t="shared" si="8"/>
        <v>4</v>
      </c>
    </row>
    <row r="61" spans="1:31" ht="15.75" customHeight="1" x14ac:dyDescent="0.2">
      <c r="A61" s="56">
        <v>3</v>
      </c>
      <c r="B61" s="56" t="s">
        <v>158</v>
      </c>
      <c r="C61" s="62" t="s">
        <v>233</v>
      </c>
      <c r="D61" s="58" t="s">
        <v>44</v>
      </c>
      <c r="E61" s="58" t="s">
        <v>418</v>
      </c>
      <c r="F61" s="56" t="s">
        <v>57</v>
      </c>
      <c r="G61" s="56">
        <v>1</v>
      </c>
      <c r="H61" s="56" t="s">
        <v>66</v>
      </c>
      <c r="I61" s="56">
        <v>100</v>
      </c>
      <c r="J61" s="56">
        <v>0.1</v>
      </c>
      <c r="K61" s="56"/>
      <c r="L61" s="69">
        <f t="shared" si="13"/>
        <v>0.1</v>
      </c>
      <c r="M61" s="56">
        <f t="shared" si="14"/>
        <v>10</v>
      </c>
      <c r="N61" s="61" t="s">
        <v>433</v>
      </c>
      <c r="O61" s="56">
        <v>1.8</v>
      </c>
      <c r="P61" s="56">
        <f t="shared" si="1"/>
        <v>0.18</v>
      </c>
      <c r="Q61" s="56">
        <v>0.13</v>
      </c>
      <c r="R61" s="56">
        <f t="shared" si="15"/>
        <v>1.3000000000000001E-2</v>
      </c>
      <c r="S61" s="56">
        <v>0.35</v>
      </c>
      <c r="T61" s="56">
        <f t="shared" si="10"/>
        <v>3.5000000000000003E-2</v>
      </c>
      <c r="U61" s="59">
        <v>0.03</v>
      </c>
      <c r="V61" s="56">
        <f t="shared" si="4"/>
        <v>3.0000000000000001E-3</v>
      </c>
      <c r="W61" s="50">
        <v>0.19</v>
      </c>
      <c r="X61" s="50">
        <f t="shared" si="5"/>
        <v>1.9E-2</v>
      </c>
      <c r="Y61" s="50">
        <v>0.68</v>
      </c>
      <c r="Z61" s="50">
        <f t="shared" si="11"/>
        <v>6.8000000000000005E-2</v>
      </c>
      <c r="AA61" s="50">
        <v>0.14000000000000001</v>
      </c>
      <c r="AB61" s="50">
        <f t="shared" si="12"/>
        <v>1.4000000000000002E-2</v>
      </c>
      <c r="AC61" s="50">
        <v>0.8</v>
      </c>
      <c r="AD61" s="50">
        <f t="shared" si="8"/>
        <v>0.08</v>
      </c>
    </row>
    <row r="62" spans="1:31" ht="15.75" customHeight="1" x14ac:dyDescent="0.2">
      <c r="A62" s="56">
        <v>3</v>
      </c>
      <c r="B62" s="56" t="s">
        <v>158</v>
      </c>
      <c r="C62" s="62" t="s">
        <v>233</v>
      </c>
      <c r="D62" s="58" t="s">
        <v>44</v>
      </c>
      <c r="E62" s="58" t="s">
        <v>408</v>
      </c>
      <c r="F62" s="56" t="s">
        <v>50</v>
      </c>
      <c r="G62" s="56">
        <v>1</v>
      </c>
      <c r="H62" s="56" t="s">
        <v>56</v>
      </c>
      <c r="I62" s="56">
        <v>130</v>
      </c>
      <c r="J62" s="56">
        <v>1</v>
      </c>
      <c r="K62" s="56"/>
      <c r="L62" s="69">
        <f t="shared" si="13"/>
        <v>1</v>
      </c>
      <c r="M62" s="56">
        <f t="shared" si="14"/>
        <v>130</v>
      </c>
      <c r="N62" s="59"/>
      <c r="O62" s="56">
        <v>151</v>
      </c>
      <c r="P62" s="56">
        <f t="shared" si="1"/>
        <v>151</v>
      </c>
      <c r="Q62" s="56">
        <v>10.7</v>
      </c>
      <c r="R62" s="56">
        <f t="shared" si="15"/>
        <v>10.7</v>
      </c>
      <c r="S62" s="56">
        <v>24.3</v>
      </c>
      <c r="T62" s="56">
        <f t="shared" si="10"/>
        <v>24.3</v>
      </c>
      <c r="U62" s="59">
        <v>1.2</v>
      </c>
      <c r="V62" s="56">
        <f t="shared" si="4"/>
        <v>1.2</v>
      </c>
      <c r="W62" s="50">
        <v>9.4</v>
      </c>
      <c r="X62" s="50">
        <f t="shared" si="5"/>
        <v>9.4</v>
      </c>
      <c r="Y62" s="50">
        <v>24</v>
      </c>
      <c r="Z62" s="50">
        <f t="shared" si="11"/>
        <v>24</v>
      </c>
      <c r="AA62" s="50">
        <v>3.9</v>
      </c>
      <c r="AB62" s="50">
        <f t="shared" si="12"/>
        <v>3.9</v>
      </c>
      <c r="AC62" s="50">
        <v>4</v>
      </c>
      <c r="AD62" s="50">
        <f t="shared" si="8"/>
        <v>4</v>
      </c>
    </row>
    <row r="63" spans="1:31" ht="15.75" customHeight="1" x14ac:dyDescent="0.2">
      <c r="A63" s="56">
        <v>3</v>
      </c>
      <c r="B63" s="56" t="s">
        <v>158</v>
      </c>
      <c r="C63" s="62" t="s">
        <v>233</v>
      </c>
      <c r="D63" s="57" t="s">
        <v>236</v>
      </c>
      <c r="E63" s="58" t="s">
        <v>426</v>
      </c>
      <c r="F63" s="56" t="s">
        <v>102</v>
      </c>
      <c r="G63" s="56">
        <v>1</v>
      </c>
      <c r="H63" s="56" t="s">
        <v>103</v>
      </c>
      <c r="I63" s="56">
        <v>30</v>
      </c>
      <c r="J63" s="56">
        <v>1</v>
      </c>
      <c r="K63" s="56"/>
      <c r="L63" s="69">
        <f t="shared" si="13"/>
        <v>1</v>
      </c>
      <c r="M63" s="56">
        <f t="shared" si="14"/>
        <v>30</v>
      </c>
      <c r="N63" s="59"/>
      <c r="O63" s="56">
        <v>63</v>
      </c>
      <c r="P63" s="56">
        <f t="shared" si="1"/>
        <v>63</v>
      </c>
      <c r="Q63" s="56">
        <v>2.4</v>
      </c>
      <c r="R63" s="56">
        <f t="shared" si="15"/>
        <v>2.4</v>
      </c>
      <c r="S63" s="56">
        <v>2.2000000000000002</v>
      </c>
      <c r="T63" s="56">
        <f t="shared" si="10"/>
        <v>2.2000000000000002</v>
      </c>
      <c r="U63" s="59">
        <v>5</v>
      </c>
      <c r="V63" s="56">
        <f t="shared" si="4"/>
        <v>5</v>
      </c>
      <c r="W63" s="50">
        <v>0.8</v>
      </c>
      <c r="X63" s="50">
        <f t="shared" si="5"/>
        <v>0.8</v>
      </c>
      <c r="Y63" s="50">
        <v>5</v>
      </c>
      <c r="Z63" s="50">
        <f t="shared" si="11"/>
        <v>5</v>
      </c>
      <c r="AA63" s="50">
        <v>0.2</v>
      </c>
      <c r="AB63" s="50">
        <v>0.2</v>
      </c>
      <c r="AC63" s="50">
        <v>1</v>
      </c>
      <c r="AD63" s="50">
        <f t="shared" si="8"/>
        <v>1</v>
      </c>
    </row>
    <row r="64" spans="1:31" ht="15.75" customHeight="1" x14ac:dyDescent="0.2">
      <c r="A64" s="56">
        <v>3</v>
      </c>
      <c r="B64" s="56" t="s">
        <v>158</v>
      </c>
      <c r="C64" s="62" t="s">
        <v>233</v>
      </c>
      <c r="D64" s="58" t="s">
        <v>97</v>
      </c>
      <c r="E64" s="58" t="s">
        <v>426</v>
      </c>
      <c r="F64" s="56" t="s">
        <v>102</v>
      </c>
      <c r="G64" s="56">
        <v>1</v>
      </c>
      <c r="H64" s="56" t="s">
        <v>103</v>
      </c>
      <c r="I64" s="56">
        <v>30</v>
      </c>
      <c r="J64" s="56">
        <v>1</v>
      </c>
      <c r="K64" s="56"/>
      <c r="L64" s="69">
        <f t="shared" si="13"/>
        <v>1</v>
      </c>
      <c r="M64" s="56">
        <f t="shared" si="14"/>
        <v>30</v>
      </c>
      <c r="N64" s="59"/>
      <c r="O64" s="56">
        <v>63</v>
      </c>
      <c r="P64" s="56">
        <f t="shared" si="1"/>
        <v>63</v>
      </c>
      <c r="Q64" s="56">
        <v>2.4</v>
      </c>
      <c r="R64" s="56">
        <f t="shared" si="15"/>
        <v>2.4</v>
      </c>
      <c r="S64" s="56">
        <v>2.2000000000000002</v>
      </c>
      <c r="T64" s="56">
        <f t="shared" si="10"/>
        <v>2.2000000000000002</v>
      </c>
      <c r="U64" s="59">
        <v>5</v>
      </c>
      <c r="V64" s="56">
        <f t="shared" si="4"/>
        <v>5</v>
      </c>
      <c r="W64" s="50">
        <v>0.8</v>
      </c>
      <c r="X64" s="50">
        <f t="shared" si="5"/>
        <v>0.8</v>
      </c>
      <c r="Y64" s="50">
        <v>5</v>
      </c>
      <c r="Z64" s="50">
        <f t="shared" si="11"/>
        <v>5</v>
      </c>
      <c r="AA64" s="50">
        <v>0.2</v>
      </c>
      <c r="AB64" s="50">
        <f t="shared" ref="AB64:AB95" si="16">(AA64*M64)/I64</f>
        <v>0.2</v>
      </c>
      <c r="AC64" s="50">
        <v>1</v>
      </c>
      <c r="AD64" s="50">
        <f t="shared" si="8"/>
        <v>1</v>
      </c>
    </row>
    <row r="65" spans="1:30" ht="15.75" customHeight="1" x14ac:dyDescent="0.2">
      <c r="A65" s="56">
        <v>3</v>
      </c>
      <c r="B65" s="56" t="s">
        <v>158</v>
      </c>
      <c r="C65" s="62" t="s">
        <v>233</v>
      </c>
      <c r="D65" s="57" t="s">
        <v>236</v>
      </c>
      <c r="E65" s="58" t="s">
        <v>18</v>
      </c>
      <c r="F65" s="56" t="s">
        <v>119</v>
      </c>
      <c r="G65" s="56">
        <v>1</v>
      </c>
      <c r="H65" s="56" t="s">
        <v>71</v>
      </c>
      <c r="I65" s="56">
        <v>112</v>
      </c>
      <c r="J65" s="56">
        <v>1</v>
      </c>
      <c r="K65" s="56"/>
      <c r="L65" s="69">
        <f t="shared" si="13"/>
        <v>1</v>
      </c>
      <c r="M65" s="56">
        <f t="shared" si="14"/>
        <v>112</v>
      </c>
      <c r="N65" s="59"/>
      <c r="O65" s="56">
        <v>73</v>
      </c>
      <c r="P65" s="56">
        <f t="shared" si="1"/>
        <v>73</v>
      </c>
      <c r="Q65" s="56">
        <v>0.2</v>
      </c>
      <c r="R65" s="56">
        <f t="shared" si="15"/>
        <v>0.2</v>
      </c>
      <c r="S65" s="56">
        <v>17.100000000000001</v>
      </c>
      <c r="T65" s="56">
        <f t="shared" si="10"/>
        <v>17.100000000000001</v>
      </c>
      <c r="U65" s="59">
        <v>0.4</v>
      </c>
      <c r="V65" s="56">
        <f t="shared" si="4"/>
        <v>0.4</v>
      </c>
      <c r="W65" s="50">
        <v>3</v>
      </c>
      <c r="X65" s="50">
        <f t="shared" si="5"/>
        <v>3</v>
      </c>
      <c r="Y65" s="50">
        <v>8</v>
      </c>
      <c r="Z65" s="50">
        <f t="shared" si="11"/>
        <v>8</v>
      </c>
      <c r="AA65" s="50">
        <v>0.2</v>
      </c>
      <c r="AB65" s="50">
        <f t="shared" si="16"/>
        <v>0.2</v>
      </c>
      <c r="AC65" s="50">
        <v>0</v>
      </c>
      <c r="AD65" s="50">
        <f t="shared" si="8"/>
        <v>0</v>
      </c>
    </row>
    <row r="66" spans="1:30" ht="15.75" customHeight="1" x14ac:dyDescent="0.2">
      <c r="A66" s="56">
        <v>3</v>
      </c>
      <c r="B66" s="56" t="s">
        <v>158</v>
      </c>
      <c r="C66" s="62" t="s">
        <v>233</v>
      </c>
      <c r="D66" s="58" t="s">
        <v>97</v>
      </c>
      <c r="E66" s="58" t="s">
        <v>18</v>
      </c>
      <c r="F66" s="56" t="s">
        <v>119</v>
      </c>
      <c r="G66" s="56">
        <v>1</v>
      </c>
      <c r="H66" s="56" t="s">
        <v>71</v>
      </c>
      <c r="I66" s="56">
        <v>112</v>
      </c>
      <c r="J66" s="56">
        <v>1</v>
      </c>
      <c r="K66" s="56"/>
      <c r="L66" s="69">
        <f t="shared" si="13"/>
        <v>1</v>
      </c>
      <c r="M66" s="56">
        <f t="shared" si="14"/>
        <v>112</v>
      </c>
      <c r="N66" s="59"/>
      <c r="O66" s="56">
        <v>73</v>
      </c>
      <c r="P66" s="56">
        <f t="shared" ref="P66:P129" si="17">(O66*M66)/I66</f>
        <v>73</v>
      </c>
      <c r="Q66" s="56">
        <v>0.2</v>
      </c>
      <c r="R66" s="56">
        <f t="shared" si="15"/>
        <v>0.2</v>
      </c>
      <c r="S66" s="56">
        <v>17.100000000000001</v>
      </c>
      <c r="T66" s="56">
        <f t="shared" ref="T66:T97" si="18">(S66*M66)/I66</f>
        <v>17.100000000000001</v>
      </c>
      <c r="U66" s="59">
        <v>0.4</v>
      </c>
      <c r="V66" s="56">
        <f t="shared" ref="V66:V129" si="19">(U66*M66)/I66</f>
        <v>0.4</v>
      </c>
      <c r="W66" s="50">
        <v>3</v>
      </c>
      <c r="X66" s="50">
        <f t="shared" ref="X66:X129" si="20">(W66*M66)/I66</f>
        <v>3</v>
      </c>
      <c r="Y66" s="50">
        <v>8</v>
      </c>
      <c r="Z66" s="50">
        <f t="shared" ref="Z66" si="21">(Y66*M66)/I66</f>
        <v>8</v>
      </c>
      <c r="AA66" s="50">
        <v>0.2</v>
      </c>
      <c r="AB66" s="50">
        <f t="shared" si="16"/>
        <v>0.2</v>
      </c>
      <c r="AC66" s="50">
        <v>0</v>
      </c>
      <c r="AD66" s="50">
        <f t="shared" ref="AD66:AD129" si="22">(AC66*M66)/I66</f>
        <v>0</v>
      </c>
    </row>
    <row r="67" spans="1:30" ht="15.75" customHeight="1" x14ac:dyDescent="0.2">
      <c r="A67" s="56">
        <v>3</v>
      </c>
      <c r="B67" s="56" t="s">
        <v>158</v>
      </c>
      <c r="C67" s="62" t="s">
        <v>233</v>
      </c>
      <c r="D67" s="57" t="s">
        <v>236</v>
      </c>
      <c r="E67" s="58" t="s">
        <v>426</v>
      </c>
      <c r="F67" s="56" t="s">
        <v>107</v>
      </c>
      <c r="G67" s="56">
        <v>1</v>
      </c>
      <c r="H67" s="56" t="s">
        <v>103</v>
      </c>
      <c r="I67" s="56">
        <v>30</v>
      </c>
      <c r="J67" s="56">
        <v>1</v>
      </c>
      <c r="K67" s="56"/>
      <c r="L67" s="69">
        <f t="shared" si="13"/>
        <v>1</v>
      </c>
      <c r="M67" s="56">
        <f t="shared" si="14"/>
        <v>30</v>
      </c>
      <c r="N67" s="59" t="s">
        <v>421</v>
      </c>
      <c r="O67" s="56">
        <v>56</v>
      </c>
      <c r="P67" s="56">
        <f t="shared" si="17"/>
        <v>56</v>
      </c>
      <c r="Q67" s="56">
        <v>1.1000000000000001</v>
      </c>
      <c r="R67" s="56">
        <f t="shared" si="15"/>
        <v>1.1000000000000001</v>
      </c>
      <c r="S67" s="56">
        <v>1</v>
      </c>
      <c r="T67" s="56">
        <f t="shared" si="18"/>
        <v>1</v>
      </c>
      <c r="U67" s="59">
        <v>5.3</v>
      </c>
      <c r="V67" s="56">
        <f t="shared" si="19"/>
        <v>5.3</v>
      </c>
      <c r="W67" s="50">
        <v>0.4</v>
      </c>
      <c r="X67" s="50">
        <f t="shared" si="20"/>
        <v>0.4</v>
      </c>
      <c r="Y67" s="50">
        <v>14</v>
      </c>
      <c r="Z67" s="50">
        <v>14</v>
      </c>
      <c r="AA67" s="50">
        <v>0.3</v>
      </c>
      <c r="AB67" s="50">
        <f t="shared" si="16"/>
        <v>0.3</v>
      </c>
      <c r="AC67" s="50">
        <v>0</v>
      </c>
      <c r="AD67" s="50">
        <f t="shared" si="22"/>
        <v>0</v>
      </c>
    </row>
    <row r="68" spans="1:30" ht="15.75" customHeight="1" x14ac:dyDescent="0.2">
      <c r="A68" s="56">
        <v>3</v>
      </c>
      <c r="B68" s="56" t="s">
        <v>158</v>
      </c>
      <c r="C68" s="62" t="s">
        <v>233</v>
      </c>
      <c r="D68" s="58" t="s">
        <v>97</v>
      </c>
      <c r="E68" s="58" t="s">
        <v>426</v>
      </c>
      <c r="F68" s="56" t="s">
        <v>107</v>
      </c>
      <c r="G68" s="56">
        <v>1</v>
      </c>
      <c r="H68" s="56" t="s">
        <v>103</v>
      </c>
      <c r="I68" s="56">
        <v>30</v>
      </c>
      <c r="J68" s="56">
        <v>1</v>
      </c>
      <c r="K68" s="56"/>
      <c r="L68" s="69">
        <f t="shared" si="13"/>
        <v>1</v>
      </c>
      <c r="M68" s="56">
        <f t="shared" si="14"/>
        <v>30</v>
      </c>
      <c r="N68" s="59"/>
      <c r="O68" s="56">
        <v>56</v>
      </c>
      <c r="P68" s="56">
        <f t="shared" si="17"/>
        <v>56</v>
      </c>
      <c r="Q68" s="56">
        <v>1.1000000000000001</v>
      </c>
      <c r="R68" s="56">
        <f t="shared" si="15"/>
        <v>1.1000000000000001</v>
      </c>
      <c r="S68" s="56">
        <v>1</v>
      </c>
      <c r="T68" s="56">
        <f t="shared" si="18"/>
        <v>1</v>
      </c>
      <c r="U68" s="59">
        <v>5.3</v>
      </c>
      <c r="V68" s="56">
        <f t="shared" si="19"/>
        <v>5.3</v>
      </c>
      <c r="W68" s="50">
        <v>0.4</v>
      </c>
      <c r="X68" s="50">
        <f t="shared" si="20"/>
        <v>0.4</v>
      </c>
      <c r="Y68" s="50">
        <v>14</v>
      </c>
      <c r="Z68" s="50">
        <f t="shared" ref="Z68:Z99" si="23">(Y68*M68)/I68</f>
        <v>14</v>
      </c>
      <c r="AA68" s="50">
        <v>0.3</v>
      </c>
      <c r="AB68" s="50">
        <f t="shared" si="16"/>
        <v>0.3</v>
      </c>
      <c r="AC68" s="50">
        <v>0</v>
      </c>
      <c r="AD68" s="50">
        <f t="shared" si="22"/>
        <v>0</v>
      </c>
    </row>
    <row r="69" spans="1:30" ht="15.75" customHeight="1" x14ac:dyDescent="0.2">
      <c r="A69" s="56">
        <v>3</v>
      </c>
      <c r="B69" s="56" t="s">
        <v>158</v>
      </c>
      <c r="C69" s="62" t="s">
        <v>233</v>
      </c>
      <c r="D69" s="58" t="s">
        <v>44</v>
      </c>
      <c r="E69" s="60" t="s">
        <v>410</v>
      </c>
      <c r="F69" s="56" t="s">
        <v>52</v>
      </c>
      <c r="G69" s="56">
        <v>1</v>
      </c>
      <c r="H69" s="56" t="s">
        <v>53</v>
      </c>
      <c r="I69" s="56">
        <v>83</v>
      </c>
      <c r="J69" s="56">
        <v>2</v>
      </c>
      <c r="K69" s="56"/>
      <c r="L69" s="69">
        <f t="shared" si="13"/>
        <v>2</v>
      </c>
      <c r="M69" s="56">
        <f t="shared" si="14"/>
        <v>166</v>
      </c>
      <c r="N69" s="61" t="s">
        <v>415</v>
      </c>
      <c r="O69" s="56">
        <v>73</v>
      </c>
      <c r="P69" s="56">
        <f t="shared" si="17"/>
        <v>146</v>
      </c>
      <c r="Q69" s="56">
        <v>1.4</v>
      </c>
      <c r="R69" s="56">
        <f t="shared" si="15"/>
        <v>2.8</v>
      </c>
      <c r="S69" s="56">
        <v>16.600000000000001</v>
      </c>
      <c r="T69" s="56">
        <f t="shared" si="18"/>
        <v>33.200000000000003</v>
      </c>
      <c r="U69" s="59">
        <v>0.1</v>
      </c>
      <c r="V69" s="56">
        <f t="shared" si="19"/>
        <v>0.2</v>
      </c>
      <c r="W69" s="50">
        <v>1.5</v>
      </c>
      <c r="X69" s="50">
        <f t="shared" si="20"/>
        <v>3</v>
      </c>
      <c r="Y69" s="50">
        <v>7</v>
      </c>
      <c r="Z69" s="50">
        <f t="shared" si="23"/>
        <v>14</v>
      </c>
      <c r="AA69" s="50">
        <v>0.2</v>
      </c>
      <c r="AB69" s="50">
        <f t="shared" si="16"/>
        <v>0.4</v>
      </c>
      <c r="AC69" s="50">
        <v>4</v>
      </c>
      <c r="AD69" s="50">
        <f t="shared" si="22"/>
        <v>8</v>
      </c>
    </row>
    <row r="70" spans="1:30" ht="15.75" customHeight="1" x14ac:dyDescent="0.2">
      <c r="A70" s="56">
        <v>3</v>
      </c>
      <c r="B70" s="56" t="s">
        <v>158</v>
      </c>
      <c r="C70" s="62" t="s">
        <v>233</v>
      </c>
      <c r="D70" s="60" t="s">
        <v>74</v>
      </c>
      <c r="E70" s="58" t="s">
        <v>418</v>
      </c>
      <c r="F70" s="56" t="s">
        <v>91</v>
      </c>
      <c r="G70" s="56">
        <v>1</v>
      </c>
      <c r="H70" s="56" t="s">
        <v>53</v>
      </c>
      <c r="I70" s="56">
        <v>111</v>
      </c>
      <c r="J70" s="56">
        <v>0.5</v>
      </c>
      <c r="K70" s="56"/>
      <c r="L70" s="69">
        <f t="shared" si="13"/>
        <v>0.5</v>
      </c>
      <c r="M70" s="56">
        <f t="shared" si="14"/>
        <v>55.5</v>
      </c>
      <c r="N70" s="59"/>
      <c r="O70" s="56">
        <v>36</v>
      </c>
      <c r="P70" s="56">
        <f t="shared" si="17"/>
        <v>18</v>
      </c>
      <c r="Q70" s="56">
        <v>1</v>
      </c>
      <c r="R70" s="56">
        <f t="shared" si="15"/>
        <v>0.5</v>
      </c>
      <c r="S70" s="56">
        <v>7.4</v>
      </c>
      <c r="T70" s="56">
        <f t="shared" si="18"/>
        <v>3.7000000000000006</v>
      </c>
      <c r="U70" s="59">
        <v>0.2</v>
      </c>
      <c r="V70" s="56">
        <f t="shared" si="19"/>
        <v>0.10000000000000002</v>
      </c>
      <c r="W70" s="50">
        <v>1.3</v>
      </c>
      <c r="X70" s="50">
        <f t="shared" si="20"/>
        <v>0.65</v>
      </c>
      <c r="Y70" s="50">
        <v>10</v>
      </c>
      <c r="Z70" s="50">
        <f t="shared" si="23"/>
        <v>5</v>
      </c>
      <c r="AA70" s="50">
        <v>0.6</v>
      </c>
      <c r="AB70" s="50">
        <f t="shared" si="16"/>
        <v>0.3</v>
      </c>
      <c r="AC70" s="50">
        <v>2</v>
      </c>
      <c r="AD70" s="50">
        <f t="shared" si="22"/>
        <v>1</v>
      </c>
    </row>
    <row r="71" spans="1:30" ht="15.75" customHeight="1" x14ac:dyDescent="0.2">
      <c r="A71" s="56">
        <v>3</v>
      </c>
      <c r="B71" s="56" t="s">
        <v>158</v>
      </c>
      <c r="C71" s="62" t="s">
        <v>233</v>
      </c>
      <c r="D71" s="57" t="s">
        <v>236</v>
      </c>
      <c r="E71" s="58" t="s">
        <v>18</v>
      </c>
      <c r="F71" s="56" t="s">
        <v>117</v>
      </c>
      <c r="G71" s="56">
        <v>1</v>
      </c>
      <c r="H71" s="56" t="s">
        <v>118</v>
      </c>
      <c r="I71" s="56">
        <v>110</v>
      </c>
      <c r="J71" s="56">
        <v>1</v>
      </c>
      <c r="K71" s="56"/>
      <c r="L71" s="69">
        <f t="shared" si="13"/>
        <v>1</v>
      </c>
      <c r="M71" s="56">
        <f t="shared" si="14"/>
        <v>110</v>
      </c>
      <c r="N71" s="59"/>
      <c r="O71" s="56">
        <v>60</v>
      </c>
      <c r="P71" s="56">
        <f t="shared" si="17"/>
        <v>60</v>
      </c>
      <c r="Q71" s="56">
        <v>0.4</v>
      </c>
      <c r="R71" s="56">
        <f t="shared" si="15"/>
        <v>0.4</v>
      </c>
      <c r="S71" s="56">
        <v>13.6</v>
      </c>
      <c r="T71" s="56">
        <f t="shared" si="18"/>
        <v>13.6</v>
      </c>
      <c r="U71" s="59">
        <v>0.4</v>
      </c>
      <c r="V71" s="56">
        <f t="shared" si="19"/>
        <v>0.4</v>
      </c>
      <c r="W71" s="50">
        <v>1.3</v>
      </c>
      <c r="X71" s="50">
        <f t="shared" si="20"/>
        <v>1.3</v>
      </c>
      <c r="Y71" s="50">
        <v>8</v>
      </c>
      <c r="Z71" s="50">
        <f t="shared" si="23"/>
        <v>8</v>
      </c>
      <c r="AA71" s="50">
        <v>0.4</v>
      </c>
      <c r="AB71" s="50">
        <f t="shared" si="16"/>
        <v>0.4</v>
      </c>
      <c r="AC71" s="50">
        <v>1</v>
      </c>
      <c r="AD71" s="50">
        <f t="shared" si="22"/>
        <v>1</v>
      </c>
    </row>
    <row r="72" spans="1:30" ht="15.75" customHeight="1" x14ac:dyDescent="0.2">
      <c r="A72" s="56">
        <v>3</v>
      </c>
      <c r="B72" s="56" t="s">
        <v>158</v>
      </c>
      <c r="C72" s="62" t="s">
        <v>233</v>
      </c>
      <c r="D72" s="58" t="s">
        <v>97</v>
      </c>
      <c r="E72" s="58" t="s">
        <v>18</v>
      </c>
      <c r="F72" s="56" t="s">
        <v>117</v>
      </c>
      <c r="G72" s="56">
        <v>1</v>
      </c>
      <c r="H72" s="56" t="s">
        <v>118</v>
      </c>
      <c r="I72" s="56">
        <v>110</v>
      </c>
      <c r="J72" s="56">
        <v>1</v>
      </c>
      <c r="K72" s="56"/>
      <c r="L72" s="69">
        <f t="shared" si="13"/>
        <v>1</v>
      </c>
      <c r="M72" s="56">
        <f t="shared" si="14"/>
        <v>110</v>
      </c>
      <c r="N72" s="59"/>
      <c r="O72" s="56">
        <v>60</v>
      </c>
      <c r="P72" s="56">
        <f t="shared" si="17"/>
        <v>60</v>
      </c>
      <c r="Q72" s="56">
        <v>0.4</v>
      </c>
      <c r="R72" s="56">
        <f t="shared" si="15"/>
        <v>0.4</v>
      </c>
      <c r="S72" s="56">
        <v>13.6</v>
      </c>
      <c r="T72" s="56">
        <f t="shared" si="18"/>
        <v>13.6</v>
      </c>
      <c r="U72" s="59">
        <v>0.4</v>
      </c>
      <c r="V72" s="56">
        <f t="shared" si="19"/>
        <v>0.4</v>
      </c>
      <c r="W72" s="50">
        <v>1.3</v>
      </c>
      <c r="X72" s="50">
        <f t="shared" si="20"/>
        <v>1.3</v>
      </c>
      <c r="Y72" s="50">
        <v>8</v>
      </c>
      <c r="Z72" s="50">
        <f t="shared" si="23"/>
        <v>8</v>
      </c>
      <c r="AA72" s="50">
        <v>0.4</v>
      </c>
      <c r="AB72" s="50">
        <f t="shared" si="16"/>
        <v>0.4</v>
      </c>
      <c r="AC72" s="50">
        <v>1</v>
      </c>
      <c r="AD72" s="50">
        <f t="shared" si="22"/>
        <v>1</v>
      </c>
    </row>
    <row r="73" spans="1:30" ht="15.75" customHeight="1" x14ac:dyDescent="0.2">
      <c r="A73" s="56">
        <v>3</v>
      </c>
      <c r="B73" s="56" t="s">
        <v>158</v>
      </c>
      <c r="C73" s="62" t="s">
        <v>233</v>
      </c>
      <c r="D73" s="60" t="s">
        <v>74</v>
      </c>
      <c r="E73" s="60" t="s">
        <v>410</v>
      </c>
      <c r="F73" s="56" t="s">
        <v>87</v>
      </c>
      <c r="G73" s="56">
        <v>1</v>
      </c>
      <c r="H73" s="56" t="s">
        <v>88</v>
      </c>
      <c r="I73" s="56">
        <v>66</v>
      </c>
      <c r="J73" s="56">
        <v>2</v>
      </c>
      <c r="K73" s="56"/>
      <c r="L73" s="69">
        <f t="shared" si="13"/>
        <v>2</v>
      </c>
      <c r="M73" s="56">
        <f t="shared" si="14"/>
        <v>132</v>
      </c>
      <c r="N73" s="59" t="s">
        <v>435</v>
      </c>
      <c r="O73" s="56">
        <v>101</v>
      </c>
      <c r="P73" s="56">
        <f t="shared" si="17"/>
        <v>202</v>
      </c>
      <c r="Q73" s="56">
        <v>0.7</v>
      </c>
      <c r="R73" s="56">
        <f t="shared" si="15"/>
        <v>1.4</v>
      </c>
      <c r="S73" s="56">
        <v>24</v>
      </c>
      <c r="T73" s="56">
        <f t="shared" si="18"/>
        <v>48</v>
      </c>
      <c r="U73" s="59">
        <v>0.3</v>
      </c>
      <c r="V73" s="56">
        <f t="shared" si="19"/>
        <v>0.6</v>
      </c>
      <c r="W73" s="50">
        <v>1.5</v>
      </c>
      <c r="X73" s="50">
        <f t="shared" si="20"/>
        <v>3</v>
      </c>
      <c r="Y73" s="50">
        <v>3</v>
      </c>
      <c r="Z73" s="50">
        <f t="shared" si="23"/>
        <v>6</v>
      </c>
      <c r="AA73" s="50">
        <v>0.3</v>
      </c>
      <c r="AB73" s="50">
        <f t="shared" si="16"/>
        <v>0.6</v>
      </c>
      <c r="AC73" s="50">
        <v>3</v>
      </c>
      <c r="AD73" s="50">
        <f t="shared" si="22"/>
        <v>6</v>
      </c>
    </row>
    <row r="74" spans="1:30" ht="15.75" customHeight="1" x14ac:dyDescent="0.2">
      <c r="A74" s="56">
        <v>3</v>
      </c>
      <c r="B74" s="56" t="s">
        <v>158</v>
      </c>
      <c r="C74" s="62" t="s">
        <v>233</v>
      </c>
      <c r="D74" s="58" t="s">
        <v>44</v>
      </c>
      <c r="E74" s="58" t="s">
        <v>36</v>
      </c>
      <c r="F74" s="56" t="s">
        <v>64</v>
      </c>
      <c r="G74" s="56">
        <v>1</v>
      </c>
      <c r="H74" s="56" t="s">
        <v>29</v>
      </c>
      <c r="I74" s="56">
        <v>80</v>
      </c>
      <c r="J74" s="56">
        <v>1</v>
      </c>
      <c r="K74" s="56"/>
      <c r="L74" s="69">
        <f t="shared" si="13"/>
        <v>1</v>
      </c>
      <c r="M74" s="56">
        <f t="shared" si="14"/>
        <v>80</v>
      </c>
      <c r="N74" s="59" t="s">
        <v>407</v>
      </c>
      <c r="O74" s="56">
        <v>83</v>
      </c>
      <c r="P74" s="56">
        <f t="shared" si="17"/>
        <v>83</v>
      </c>
      <c r="Q74" s="56">
        <v>18.5</v>
      </c>
      <c r="R74" s="56">
        <f t="shared" si="15"/>
        <v>18.5</v>
      </c>
      <c r="S74" s="56">
        <v>0</v>
      </c>
      <c r="T74" s="56">
        <f t="shared" si="18"/>
        <v>0</v>
      </c>
      <c r="U74" s="59">
        <v>1</v>
      </c>
      <c r="V74" s="56">
        <f t="shared" si="19"/>
        <v>1</v>
      </c>
      <c r="W74" s="50">
        <v>0</v>
      </c>
      <c r="X74" s="50">
        <f t="shared" si="20"/>
        <v>0</v>
      </c>
      <c r="Y74" s="50">
        <v>9</v>
      </c>
      <c r="Z74" s="50">
        <f t="shared" si="23"/>
        <v>9</v>
      </c>
      <c r="AA74" s="50">
        <v>0.6</v>
      </c>
      <c r="AB74" s="50">
        <f t="shared" si="16"/>
        <v>0.6</v>
      </c>
      <c r="AC74" s="50">
        <v>52</v>
      </c>
      <c r="AD74" s="50">
        <f t="shared" si="22"/>
        <v>52</v>
      </c>
    </row>
    <row r="75" spans="1:30" ht="15.75" customHeight="1" x14ac:dyDescent="0.2">
      <c r="A75" s="56">
        <v>3</v>
      </c>
      <c r="B75" s="56" t="s">
        <v>158</v>
      </c>
      <c r="C75" s="62" t="s">
        <v>233</v>
      </c>
      <c r="D75" s="58" t="s">
        <v>44</v>
      </c>
      <c r="E75" s="58" t="s">
        <v>418</v>
      </c>
      <c r="F75" s="56" t="s">
        <v>70</v>
      </c>
      <c r="G75" s="56">
        <v>1</v>
      </c>
      <c r="H75" s="56" t="s">
        <v>71</v>
      </c>
      <c r="I75" s="56">
        <v>132</v>
      </c>
      <c r="J75" s="56">
        <v>1</v>
      </c>
      <c r="K75" s="56"/>
      <c r="L75" s="69">
        <f t="shared" si="13"/>
        <v>1</v>
      </c>
      <c r="M75" s="56">
        <f t="shared" si="14"/>
        <v>132</v>
      </c>
      <c r="N75" s="59"/>
      <c r="O75" s="56"/>
      <c r="P75" s="56">
        <f t="shared" si="17"/>
        <v>0</v>
      </c>
      <c r="Q75" s="56"/>
      <c r="R75" s="56">
        <f t="shared" si="15"/>
        <v>0</v>
      </c>
      <c r="S75" s="56"/>
      <c r="T75" s="56">
        <f t="shared" si="18"/>
        <v>0</v>
      </c>
      <c r="U75" s="59"/>
      <c r="V75" s="56">
        <f t="shared" si="19"/>
        <v>0</v>
      </c>
      <c r="W75" s="50"/>
      <c r="X75" s="50">
        <f t="shared" si="20"/>
        <v>0</v>
      </c>
      <c r="Y75" s="50"/>
      <c r="Z75" s="50">
        <f t="shared" si="23"/>
        <v>0</v>
      </c>
      <c r="AA75" s="50"/>
      <c r="AB75" s="50">
        <f t="shared" si="16"/>
        <v>0</v>
      </c>
      <c r="AC75" s="50"/>
      <c r="AD75" s="50">
        <f t="shared" si="22"/>
        <v>0</v>
      </c>
    </row>
    <row r="76" spans="1:30" ht="15.75" customHeight="1" x14ac:dyDescent="0.2">
      <c r="A76" s="56">
        <v>3</v>
      </c>
      <c r="B76" s="56" t="s">
        <v>158</v>
      </c>
      <c r="C76" s="62" t="s">
        <v>233</v>
      </c>
      <c r="D76" s="58" t="s">
        <v>44</v>
      </c>
      <c r="E76" s="58" t="s">
        <v>418</v>
      </c>
      <c r="F76" s="56" t="s">
        <v>67</v>
      </c>
      <c r="G76" s="56">
        <v>1</v>
      </c>
      <c r="H76" s="56" t="s">
        <v>29</v>
      </c>
      <c r="I76" s="56">
        <v>58</v>
      </c>
      <c r="J76" s="56">
        <v>0.5</v>
      </c>
      <c r="K76" s="56"/>
      <c r="L76" s="69">
        <f t="shared" si="13"/>
        <v>0.5</v>
      </c>
      <c r="M76" s="56">
        <f t="shared" si="14"/>
        <v>29</v>
      </c>
      <c r="N76" s="59"/>
      <c r="O76" s="56">
        <v>27</v>
      </c>
      <c r="P76" s="56">
        <f t="shared" si="17"/>
        <v>13.5</v>
      </c>
      <c r="Q76" s="56">
        <v>0.6</v>
      </c>
      <c r="R76" s="56">
        <f t="shared" si="15"/>
        <v>0.3</v>
      </c>
      <c r="S76" s="56">
        <v>5.9</v>
      </c>
      <c r="T76" s="56">
        <f t="shared" si="18"/>
        <v>2.95</v>
      </c>
      <c r="U76" s="59">
        <v>0.1</v>
      </c>
      <c r="V76" s="56">
        <f t="shared" si="19"/>
        <v>0.05</v>
      </c>
      <c r="W76" s="50">
        <v>1.7</v>
      </c>
      <c r="X76" s="50">
        <f t="shared" si="20"/>
        <v>0.85</v>
      </c>
      <c r="Y76" s="50">
        <v>16</v>
      </c>
      <c r="Z76" s="50">
        <f t="shared" si="23"/>
        <v>8</v>
      </c>
      <c r="AA76" s="50">
        <v>0.3</v>
      </c>
      <c r="AB76" s="50">
        <f t="shared" si="16"/>
        <v>0.15</v>
      </c>
      <c r="AC76" s="50">
        <v>20</v>
      </c>
      <c r="AD76" s="50">
        <f t="shared" si="22"/>
        <v>10</v>
      </c>
    </row>
    <row r="77" spans="1:30" ht="15.75" customHeight="1" x14ac:dyDescent="0.2">
      <c r="A77" s="56">
        <v>3</v>
      </c>
      <c r="B77" s="56" t="s">
        <v>158</v>
      </c>
      <c r="C77" s="62" t="s">
        <v>233</v>
      </c>
      <c r="D77" s="60" t="s">
        <v>74</v>
      </c>
      <c r="E77" s="58" t="s">
        <v>418</v>
      </c>
      <c r="F77" s="56" t="s">
        <v>67</v>
      </c>
      <c r="G77" s="56">
        <v>1</v>
      </c>
      <c r="H77" s="56" t="s">
        <v>29</v>
      </c>
      <c r="I77" s="56">
        <v>58</v>
      </c>
      <c r="J77" s="56">
        <v>0.5</v>
      </c>
      <c r="K77" s="56"/>
      <c r="L77" s="69">
        <f t="shared" si="13"/>
        <v>0.5</v>
      </c>
      <c r="M77" s="56">
        <f t="shared" si="14"/>
        <v>29</v>
      </c>
      <c r="N77" s="59"/>
      <c r="O77" s="56">
        <v>27</v>
      </c>
      <c r="P77" s="56">
        <f t="shared" si="17"/>
        <v>13.5</v>
      </c>
      <c r="Q77" s="56">
        <v>0.6</v>
      </c>
      <c r="R77" s="56">
        <f t="shared" si="15"/>
        <v>0.3</v>
      </c>
      <c r="S77" s="56">
        <v>5.9</v>
      </c>
      <c r="T77" s="56">
        <f t="shared" si="18"/>
        <v>2.95</v>
      </c>
      <c r="U77" s="59">
        <v>0.1</v>
      </c>
      <c r="V77" s="56">
        <f t="shared" si="19"/>
        <v>0.05</v>
      </c>
      <c r="W77" s="50">
        <v>1.7</v>
      </c>
      <c r="X77" s="50">
        <f t="shared" si="20"/>
        <v>0.85</v>
      </c>
      <c r="Y77" s="50">
        <v>16</v>
      </c>
      <c r="Z77" s="50">
        <f t="shared" si="23"/>
        <v>8</v>
      </c>
      <c r="AA77" s="50">
        <v>0.3</v>
      </c>
      <c r="AB77" s="50">
        <f t="shared" si="16"/>
        <v>0.15</v>
      </c>
      <c r="AC77" s="50">
        <v>20</v>
      </c>
      <c r="AD77" s="50">
        <f t="shared" si="22"/>
        <v>10</v>
      </c>
    </row>
    <row r="78" spans="1:30" ht="15.75" customHeight="1" x14ac:dyDescent="0.2">
      <c r="A78" s="56">
        <v>4</v>
      </c>
      <c r="B78" s="56" t="s">
        <v>179</v>
      </c>
      <c r="C78" s="56" t="s">
        <v>159</v>
      </c>
      <c r="D78" s="60" t="s">
        <v>44</v>
      </c>
      <c r="E78" s="58" t="s">
        <v>23</v>
      </c>
      <c r="F78" s="56" t="s">
        <v>62</v>
      </c>
      <c r="G78" s="56">
        <v>0.125</v>
      </c>
      <c r="H78" s="56" t="s">
        <v>53</v>
      </c>
      <c r="I78" s="69">
        <v>30</v>
      </c>
      <c r="J78" s="69">
        <v>2</v>
      </c>
      <c r="K78" s="69"/>
      <c r="L78" s="69">
        <f t="shared" si="13"/>
        <v>2</v>
      </c>
      <c r="M78" s="69">
        <f t="shared" ref="M78:M101" si="24">L78*I78</f>
        <v>60</v>
      </c>
      <c r="N78" s="61"/>
      <c r="O78" s="56">
        <v>53</v>
      </c>
      <c r="P78" s="56">
        <f t="shared" si="17"/>
        <v>106</v>
      </c>
      <c r="Q78" s="56">
        <v>0.6</v>
      </c>
      <c r="R78" s="56">
        <f t="shared" si="15"/>
        <v>1.2</v>
      </c>
      <c r="S78" s="56">
        <v>2.2000000000000002</v>
      </c>
      <c r="T78" s="56">
        <f t="shared" si="18"/>
        <v>4.4000000000000004</v>
      </c>
      <c r="U78" s="59">
        <v>4.5999999999999996</v>
      </c>
      <c r="V78" s="56">
        <f t="shared" si="19"/>
        <v>9.1999999999999993</v>
      </c>
      <c r="W78" s="50">
        <v>1.5</v>
      </c>
      <c r="X78" s="50">
        <f t="shared" si="20"/>
        <v>3</v>
      </c>
      <c r="Y78" s="50">
        <v>3</v>
      </c>
      <c r="Z78" s="50">
        <f t="shared" si="23"/>
        <v>6</v>
      </c>
      <c r="AA78" s="50">
        <v>0.3</v>
      </c>
      <c r="AB78" s="50">
        <f t="shared" si="16"/>
        <v>0.6</v>
      </c>
      <c r="AC78" s="50">
        <v>3</v>
      </c>
      <c r="AD78" s="50">
        <f t="shared" si="22"/>
        <v>6</v>
      </c>
    </row>
    <row r="79" spans="1:30" ht="15.75" customHeight="1" x14ac:dyDescent="0.2">
      <c r="A79" s="56">
        <v>4</v>
      </c>
      <c r="B79" s="56" t="s">
        <v>179</v>
      </c>
      <c r="C79" s="56" t="s">
        <v>159</v>
      </c>
      <c r="D79" s="58" t="s">
        <v>17</v>
      </c>
      <c r="E79" s="60" t="s">
        <v>410</v>
      </c>
      <c r="F79" s="56" t="s">
        <v>237</v>
      </c>
      <c r="G79" s="56">
        <v>1</v>
      </c>
      <c r="H79" s="56" t="s">
        <v>35</v>
      </c>
      <c r="I79" s="69">
        <v>52</v>
      </c>
      <c r="J79" s="69">
        <v>1</v>
      </c>
      <c r="K79" s="69"/>
      <c r="L79" s="69">
        <f t="shared" si="13"/>
        <v>1</v>
      </c>
      <c r="M79" s="69">
        <f t="shared" si="24"/>
        <v>52</v>
      </c>
      <c r="N79" s="61" t="s">
        <v>411</v>
      </c>
      <c r="O79" s="56">
        <v>102</v>
      </c>
      <c r="P79" s="56">
        <f t="shared" si="17"/>
        <v>102</v>
      </c>
      <c r="Q79" s="56">
        <v>2.1</v>
      </c>
      <c r="R79" s="56">
        <f t="shared" si="15"/>
        <v>2.1</v>
      </c>
      <c r="S79" s="56">
        <v>22.5</v>
      </c>
      <c r="T79" s="56">
        <f t="shared" si="18"/>
        <v>22.5</v>
      </c>
      <c r="U79" s="59">
        <v>0.3</v>
      </c>
      <c r="V79" s="56">
        <f t="shared" si="19"/>
        <v>0.3</v>
      </c>
      <c r="W79" s="50">
        <v>0.3</v>
      </c>
      <c r="X79" s="50">
        <f t="shared" si="20"/>
        <v>0.3</v>
      </c>
      <c r="Y79" s="50">
        <v>2</v>
      </c>
      <c r="Z79" s="50">
        <f t="shared" si="23"/>
        <v>2</v>
      </c>
      <c r="AA79" s="50">
        <v>0.4</v>
      </c>
      <c r="AB79" s="50">
        <f t="shared" si="16"/>
        <v>0.4</v>
      </c>
      <c r="AC79" s="50">
        <v>1</v>
      </c>
      <c r="AD79" s="50">
        <f t="shared" si="22"/>
        <v>1</v>
      </c>
    </row>
    <row r="80" spans="1:30" ht="15.75" customHeight="1" x14ac:dyDescent="0.2">
      <c r="A80" s="56">
        <v>4</v>
      </c>
      <c r="B80" s="56" t="s">
        <v>179</v>
      </c>
      <c r="C80" s="56" t="s">
        <v>159</v>
      </c>
      <c r="D80" s="60" t="s">
        <v>74</v>
      </c>
      <c r="E80" s="60" t="s">
        <v>410</v>
      </c>
      <c r="F80" s="56" t="s">
        <v>237</v>
      </c>
      <c r="G80" s="56">
        <v>1</v>
      </c>
      <c r="H80" s="56" t="s">
        <v>35</v>
      </c>
      <c r="I80" s="69">
        <v>52</v>
      </c>
      <c r="J80" s="69">
        <v>0.5</v>
      </c>
      <c r="K80" s="69"/>
      <c r="L80" s="69">
        <f t="shared" si="13"/>
        <v>0.5</v>
      </c>
      <c r="M80" s="69">
        <f t="shared" si="24"/>
        <v>26</v>
      </c>
      <c r="N80" s="61" t="s">
        <v>411</v>
      </c>
      <c r="O80" s="56">
        <v>102</v>
      </c>
      <c r="P80" s="56">
        <f t="shared" si="17"/>
        <v>51</v>
      </c>
      <c r="Q80" s="56">
        <v>2.1</v>
      </c>
      <c r="R80" s="56">
        <f t="shared" si="15"/>
        <v>1.05</v>
      </c>
      <c r="S80" s="56">
        <v>22.5</v>
      </c>
      <c r="T80" s="56">
        <f t="shared" si="18"/>
        <v>11.25</v>
      </c>
      <c r="U80" s="59">
        <v>0.3</v>
      </c>
      <c r="V80" s="56">
        <f t="shared" si="19"/>
        <v>0.15</v>
      </c>
      <c r="W80" s="50">
        <v>0.3</v>
      </c>
      <c r="X80" s="50">
        <f t="shared" si="20"/>
        <v>0.15</v>
      </c>
      <c r="Y80" s="50">
        <v>2</v>
      </c>
      <c r="Z80" s="50">
        <f t="shared" si="23"/>
        <v>1</v>
      </c>
      <c r="AA80" s="50">
        <v>0.4</v>
      </c>
      <c r="AB80" s="50">
        <f t="shared" si="16"/>
        <v>0.2</v>
      </c>
      <c r="AC80" s="50">
        <v>1</v>
      </c>
      <c r="AD80" s="50">
        <f t="shared" si="22"/>
        <v>0.5</v>
      </c>
    </row>
    <row r="81" spans="1:30" ht="15.75" customHeight="1" x14ac:dyDescent="0.2">
      <c r="A81" s="56">
        <v>4</v>
      </c>
      <c r="B81" s="56" t="s">
        <v>179</v>
      </c>
      <c r="C81" s="56" t="s">
        <v>159</v>
      </c>
      <c r="D81" s="60" t="s">
        <v>44</v>
      </c>
      <c r="E81" s="60" t="s">
        <v>410</v>
      </c>
      <c r="F81" s="56" t="s">
        <v>47</v>
      </c>
      <c r="G81" s="56">
        <v>6</v>
      </c>
      <c r="H81" s="56" t="s">
        <v>254</v>
      </c>
      <c r="I81" s="69">
        <v>80</v>
      </c>
      <c r="J81" s="69">
        <v>1</v>
      </c>
      <c r="K81" s="69"/>
      <c r="L81" s="69">
        <f t="shared" si="13"/>
        <v>1</v>
      </c>
      <c r="M81" s="69">
        <f t="shared" si="24"/>
        <v>80</v>
      </c>
      <c r="N81" s="59" t="s">
        <v>413</v>
      </c>
      <c r="O81" s="56">
        <v>101</v>
      </c>
      <c r="P81" s="56">
        <f t="shared" si="17"/>
        <v>101</v>
      </c>
      <c r="Q81" s="56">
        <v>1.9</v>
      </c>
      <c r="R81" s="56">
        <f t="shared" si="15"/>
        <v>1.9</v>
      </c>
      <c r="S81" s="56">
        <v>22.9</v>
      </c>
      <c r="T81" s="56">
        <f t="shared" si="18"/>
        <v>22.9</v>
      </c>
      <c r="U81" s="59">
        <v>0.2</v>
      </c>
      <c r="V81" s="56">
        <f t="shared" si="19"/>
        <v>0.2</v>
      </c>
      <c r="W81" s="50">
        <v>0.2</v>
      </c>
      <c r="X81" s="50">
        <f t="shared" si="20"/>
        <v>0.2</v>
      </c>
      <c r="Y81" s="50">
        <v>2</v>
      </c>
      <c r="Z81" s="50">
        <f t="shared" si="23"/>
        <v>2</v>
      </c>
      <c r="AA81" s="50">
        <v>0.2</v>
      </c>
      <c r="AB81" s="50">
        <f t="shared" si="16"/>
        <v>0.2</v>
      </c>
      <c r="AC81" s="50">
        <v>0</v>
      </c>
      <c r="AD81" s="50">
        <f t="shared" si="22"/>
        <v>0</v>
      </c>
    </row>
    <row r="82" spans="1:30" ht="15.75" customHeight="1" x14ac:dyDescent="0.2">
      <c r="A82" s="56">
        <v>4</v>
      </c>
      <c r="B82" s="56" t="s">
        <v>179</v>
      </c>
      <c r="C82" s="56" t="s">
        <v>159</v>
      </c>
      <c r="D82" s="73" t="s">
        <v>224</v>
      </c>
      <c r="E82" s="58" t="s">
        <v>18</v>
      </c>
      <c r="F82" s="56" t="s">
        <v>260</v>
      </c>
      <c r="G82" s="56">
        <v>1</v>
      </c>
      <c r="H82" s="56" t="s">
        <v>71</v>
      </c>
      <c r="I82" s="69">
        <v>65</v>
      </c>
      <c r="J82" s="69">
        <v>2</v>
      </c>
      <c r="K82" s="69"/>
      <c r="L82" s="69">
        <f t="shared" si="13"/>
        <v>2</v>
      </c>
      <c r="M82" s="69">
        <f t="shared" si="24"/>
        <v>130</v>
      </c>
      <c r="N82" s="61"/>
      <c r="O82" s="56">
        <v>66</v>
      </c>
      <c r="P82" s="56">
        <f t="shared" si="17"/>
        <v>132</v>
      </c>
      <c r="Q82" s="56">
        <v>0.7</v>
      </c>
      <c r="R82" s="56">
        <f t="shared" ref="R82:R113" si="25">(Q82*M82)/I82</f>
        <v>1.4</v>
      </c>
      <c r="S82" s="56">
        <v>15.2</v>
      </c>
      <c r="T82" s="56">
        <f t="shared" si="18"/>
        <v>30.4</v>
      </c>
      <c r="U82" s="59">
        <v>0.3</v>
      </c>
      <c r="V82" s="56">
        <f t="shared" si="19"/>
        <v>0.6</v>
      </c>
      <c r="W82" s="50">
        <v>1.6</v>
      </c>
      <c r="X82" s="50">
        <f t="shared" si="20"/>
        <v>3.2</v>
      </c>
      <c r="Y82" s="50">
        <v>4</v>
      </c>
      <c r="Z82" s="50">
        <f t="shared" si="23"/>
        <v>8</v>
      </c>
      <c r="AA82" s="50">
        <v>0.2</v>
      </c>
      <c r="AB82" s="50">
        <f t="shared" si="16"/>
        <v>0.4</v>
      </c>
      <c r="AC82" s="50">
        <v>1</v>
      </c>
      <c r="AD82" s="50">
        <f t="shared" si="22"/>
        <v>2</v>
      </c>
    </row>
    <row r="83" spans="1:30" ht="15.75" customHeight="1" x14ac:dyDescent="0.2">
      <c r="A83" s="56">
        <v>4</v>
      </c>
      <c r="B83" s="56" t="s">
        <v>179</v>
      </c>
      <c r="C83" s="56" t="s">
        <v>159</v>
      </c>
      <c r="D83" s="60" t="s">
        <v>44</v>
      </c>
      <c r="E83" s="58" t="s">
        <v>418</v>
      </c>
      <c r="F83" s="56" t="s">
        <v>322</v>
      </c>
      <c r="G83" s="56">
        <v>1</v>
      </c>
      <c r="H83" s="56" t="s">
        <v>251</v>
      </c>
      <c r="I83" s="69">
        <v>89</v>
      </c>
      <c r="J83" s="69">
        <v>1</v>
      </c>
      <c r="K83" s="69"/>
      <c r="L83" s="69">
        <f t="shared" si="13"/>
        <v>1</v>
      </c>
      <c r="M83" s="69">
        <f t="shared" si="24"/>
        <v>89</v>
      </c>
      <c r="N83" s="61"/>
      <c r="O83" s="56">
        <v>36</v>
      </c>
      <c r="P83" s="56">
        <f t="shared" si="17"/>
        <v>36</v>
      </c>
      <c r="Q83" s="56">
        <v>2.7</v>
      </c>
      <c r="R83" s="56">
        <f t="shared" si="25"/>
        <v>2.7</v>
      </c>
      <c r="S83" s="56">
        <v>5.6</v>
      </c>
      <c r="T83" s="56">
        <f t="shared" si="18"/>
        <v>5.6</v>
      </c>
      <c r="U83" s="59">
        <v>0.3</v>
      </c>
      <c r="V83" s="56">
        <f t="shared" si="19"/>
        <v>0.3</v>
      </c>
      <c r="W83" s="50">
        <v>2.9</v>
      </c>
      <c r="X83" s="50">
        <f t="shared" si="20"/>
        <v>2.8999999999999995</v>
      </c>
      <c r="Y83" s="50">
        <v>28</v>
      </c>
      <c r="Z83" s="50">
        <f t="shared" si="23"/>
        <v>28</v>
      </c>
      <c r="AA83" s="50">
        <v>0.6</v>
      </c>
      <c r="AB83" s="50">
        <f t="shared" si="16"/>
        <v>0.6</v>
      </c>
      <c r="AC83" s="50">
        <v>20</v>
      </c>
      <c r="AD83" s="50">
        <f t="shared" si="22"/>
        <v>20</v>
      </c>
    </row>
    <row r="84" spans="1:30" ht="15.75" customHeight="1" x14ac:dyDescent="0.2">
      <c r="A84" s="56">
        <v>4</v>
      </c>
      <c r="B84" s="56" t="s">
        <v>179</v>
      </c>
      <c r="C84" s="56" t="s">
        <v>159</v>
      </c>
      <c r="D84" s="60" t="s">
        <v>74</v>
      </c>
      <c r="E84" s="58" t="s">
        <v>36</v>
      </c>
      <c r="F84" s="56" t="s">
        <v>258</v>
      </c>
      <c r="G84" s="56">
        <v>1</v>
      </c>
      <c r="H84" s="56" t="s">
        <v>259</v>
      </c>
      <c r="I84" s="69">
        <v>100</v>
      </c>
      <c r="J84" s="69">
        <v>1.2</v>
      </c>
      <c r="K84" s="69"/>
      <c r="L84" s="69">
        <f t="shared" si="13"/>
        <v>1.2</v>
      </c>
      <c r="M84" s="69">
        <f t="shared" si="24"/>
        <v>120</v>
      </c>
      <c r="N84" s="61"/>
      <c r="O84" s="56"/>
      <c r="P84" s="56">
        <f t="shared" si="17"/>
        <v>0</v>
      </c>
      <c r="Q84" s="56"/>
      <c r="R84" s="56">
        <f t="shared" si="25"/>
        <v>0</v>
      </c>
      <c r="S84" s="56"/>
      <c r="T84" s="56">
        <f t="shared" si="18"/>
        <v>0</v>
      </c>
      <c r="U84" s="59"/>
      <c r="V84" s="56">
        <f t="shared" si="19"/>
        <v>0</v>
      </c>
      <c r="W84" s="50"/>
      <c r="X84" s="50">
        <f t="shared" si="20"/>
        <v>0</v>
      </c>
      <c r="Y84" s="50"/>
      <c r="Z84" s="50">
        <f t="shared" si="23"/>
        <v>0</v>
      </c>
      <c r="AA84" s="50"/>
      <c r="AB84" s="50">
        <f t="shared" si="16"/>
        <v>0</v>
      </c>
      <c r="AC84" s="50"/>
      <c r="AD84" s="50">
        <f t="shared" si="22"/>
        <v>0</v>
      </c>
    </row>
    <row r="85" spans="1:30" ht="15.75" customHeight="1" x14ac:dyDescent="0.2">
      <c r="A85" s="56">
        <v>4</v>
      </c>
      <c r="B85" s="56" t="s">
        <v>179</v>
      </c>
      <c r="C85" s="56" t="s">
        <v>159</v>
      </c>
      <c r="D85" s="58" t="s">
        <v>17</v>
      </c>
      <c r="E85" s="58" t="s">
        <v>424</v>
      </c>
      <c r="F85" s="63" t="s">
        <v>238</v>
      </c>
      <c r="G85" s="56">
        <v>1</v>
      </c>
      <c r="H85" s="56" t="s">
        <v>239</v>
      </c>
      <c r="I85" s="69">
        <v>300</v>
      </c>
      <c r="J85" s="69">
        <v>1</v>
      </c>
      <c r="K85" s="69"/>
      <c r="L85" s="69">
        <f t="shared" si="13"/>
        <v>1</v>
      </c>
      <c r="M85" s="69">
        <f t="shared" si="24"/>
        <v>300</v>
      </c>
      <c r="N85" s="59" t="s">
        <v>374</v>
      </c>
      <c r="O85" s="56">
        <v>128</v>
      </c>
      <c r="P85" s="56">
        <f t="shared" si="17"/>
        <v>128</v>
      </c>
      <c r="Q85" s="56">
        <v>1.3</v>
      </c>
      <c r="R85" s="56">
        <f t="shared" si="25"/>
        <v>1.3</v>
      </c>
      <c r="S85" s="56">
        <v>23.5</v>
      </c>
      <c r="T85" s="56">
        <f t="shared" si="18"/>
        <v>23.5</v>
      </c>
      <c r="U85" s="59">
        <v>3.2</v>
      </c>
      <c r="V85" s="56">
        <f t="shared" si="19"/>
        <v>3.2</v>
      </c>
      <c r="W85" s="50">
        <v>4.8</v>
      </c>
      <c r="X85" s="50">
        <f t="shared" si="20"/>
        <v>4.8</v>
      </c>
      <c r="Y85" s="50">
        <v>11</v>
      </c>
      <c r="Z85" s="50">
        <f t="shared" si="23"/>
        <v>11</v>
      </c>
      <c r="AA85" s="50">
        <v>1.2</v>
      </c>
      <c r="AB85" s="50">
        <f t="shared" si="16"/>
        <v>1.2</v>
      </c>
      <c r="AC85" s="50">
        <v>4</v>
      </c>
      <c r="AD85" s="50">
        <f t="shared" si="22"/>
        <v>4</v>
      </c>
    </row>
    <row r="86" spans="1:30" ht="15.75" customHeight="1" x14ac:dyDescent="0.2">
      <c r="A86" s="56">
        <v>4</v>
      </c>
      <c r="B86" s="56" t="s">
        <v>179</v>
      </c>
      <c r="C86" s="56" t="s">
        <v>159</v>
      </c>
      <c r="D86" s="60" t="s">
        <v>74</v>
      </c>
      <c r="E86" s="58" t="s">
        <v>424</v>
      </c>
      <c r="F86" s="63" t="s">
        <v>238</v>
      </c>
      <c r="G86" s="56">
        <v>1</v>
      </c>
      <c r="H86" s="56" t="s">
        <v>251</v>
      </c>
      <c r="I86" s="69">
        <v>150</v>
      </c>
      <c r="J86" s="69">
        <v>1</v>
      </c>
      <c r="K86" s="69"/>
      <c r="L86" s="69">
        <f t="shared" si="13"/>
        <v>1</v>
      </c>
      <c r="M86" s="69">
        <f t="shared" si="24"/>
        <v>150</v>
      </c>
      <c r="N86" s="59" t="s">
        <v>374</v>
      </c>
      <c r="O86" s="56">
        <v>128</v>
      </c>
      <c r="P86" s="56">
        <f t="shared" si="17"/>
        <v>128</v>
      </c>
      <c r="Q86" s="56">
        <v>1.3</v>
      </c>
      <c r="R86" s="56">
        <f t="shared" si="25"/>
        <v>1.3</v>
      </c>
      <c r="S86" s="56">
        <v>23.5</v>
      </c>
      <c r="T86" s="56">
        <f t="shared" si="18"/>
        <v>23.5</v>
      </c>
      <c r="U86" s="59">
        <v>3.2</v>
      </c>
      <c r="V86" s="56">
        <f t="shared" si="19"/>
        <v>3.2</v>
      </c>
      <c r="W86" s="50">
        <v>4.8</v>
      </c>
      <c r="X86" s="50">
        <f t="shared" si="20"/>
        <v>4.8</v>
      </c>
      <c r="Y86" s="50">
        <v>11</v>
      </c>
      <c r="Z86" s="50">
        <f t="shared" si="23"/>
        <v>11</v>
      </c>
      <c r="AA86" s="50">
        <v>1.2</v>
      </c>
      <c r="AB86" s="50">
        <f t="shared" si="16"/>
        <v>1.2</v>
      </c>
      <c r="AC86" s="50">
        <v>4</v>
      </c>
      <c r="AD86" s="50">
        <f t="shared" si="22"/>
        <v>4</v>
      </c>
    </row>
    <row r="87" spans="1:30" ht="15.75" customHeight="1" x14ac:dyDescent="0.2">
      <c r="A87" s="56">
        <v>4</v>
      </c>
      <c r="B87" s="56" t="s">
        <v>179</v>
      </c>
      <c r="C87" s="56" t="s">
        <v>159</v>
      </c>
      <c r="D87" s="60" t="s">
        <v>44</v>
      </c>
      <c r="E87" s="58" t="s">
        <v>18</v>
      </c>
      <c r="F87" s="56" t="s">
        <v>256</v>
      </c>
      <c r="G87" s="56">
        <v>9</v>
      </c>
      <c r="H87" s="56" t="s">
        <v>20</v>
      </c>
      <c r="I87" s="69">
        <v>161</v>
      </c>
      <c r="J87" s="69">
        <v>0.3</v>
      </c>
      <c r="K87" s="69"/>
      <c r="L87" s="69">
        <f t="shared" si="13"/>
        <v>0.3</v>
      </c>
      <c r="M87" s="69">
        <f t="shared" si="24"/>
        <v>48.3</v>
      </c>
      <c r="N87" s="61" t="s">
        <v>257</v>
      </c>
      <c r="O87" s="56">
        <v>55</v>
      </c>
      <c r="P87" s="56">
        <f t="shared" si="17"/>
        <v>16.5</v>
      </c>
      <c r="Q87" s="56">
        <v>1.3</v>
      </c>
      <c r="R87" s="56">
        <f t="shared" si="25"/>
        <v>0.39</v>
      </c>
      <c r="S87" s="56">
        <v>11.1</v>
      </c>
      <c r="T87" s="56">
        <f t="shared" si="18"/>
        <v>3.33</v>
      </c>
      <c r="U87" s="59">
        <v>0.6</v>
      </c>
      <c r="V87" s="56">
        <f t="shared" si="19"/>
        <v>0.18</v>
      </c>
      <c r="W87" s="50">
        <v>3.7</v>
      </c>
      <c r="X87" s="50">
        <f t="shared" si="20"/>
        <v>1.1100000000000001</v>
      </c>
      <c r="Y87" s="50">
        <v>45</v>
      </c>
      <c r="Z87" s="50">
        <f t="shared" si="23"/>
        <v>13.5</v>
      </c>
      <c r="AA87" s="50">
        <v>1.3</v>
      </c>
      <c r="AB87" s="50">
        <f t="shared" si="16"/>
        <v>0.39</v>
      </c>
      <c r="AC87" s="50">
        <v>2</v>
      </c>
      <c r="AD87" s="50">
        <f t="shared" si="22"/>
        <v>0.6</v>
      </c>
    </row>
    <row r="88" spans="1:30" ht="15.75" customHeight="1" x14ac:dyDescent="0.2">
      <c r="A88" s="56">
        <v>4</v>
      </c>
      <c r="B88" s="56" t="s">
        <v>179</v>
      </c>
      <c r="C88" s="56" t="s">
        <v>159</v>
      </c>
      <c r="D88" s="60" t="s">
        <v>44</v>
      </c>
      <c r="E88" s="58" t="s">
        <v>408</v>
      </c>
      <c r="F88" s="56" t="s">
        <v>249</v>
      </c>
      <c r="G88" s="56">
        <v>1</v>
      </c>
      <c r="H88" s="56" t="s">
        <v>56</v>
      </c>
      <c r="I88" s="69">
        <v>130</v>
      </c>
      <c r="J88" s="69">
        <v>1</v>
      </c>
      <c r="K88" s="69"/>
      <c r="L88" s="69">
        <f t="shared" si="13"/>
        <v>1</v>
      </c>
      <c r="M88" s="69">
        <f t="shared" si="24"/>
        <v>130</v>
      </c>
      <c r="N88" s="59" t="s">
        <v>409</v>
      </c>
      <c r="O88" s="56">
        <v>146</v>
      </c>
      <c r="P88" s="56">
        <f t="shared" si="17"/>
        <v>146</v>
      </c>
      <c r="Q88" s="56">
        <v>7.4</v>
      </c>
      <c r="R88" s="56">
        <f t="shared" si="25"/>
        <v>7.4</v>
      </c>
      <c r="S88" s="56">
        <v>26.7</v>
      </c>
      <c r="T88" s="56">
        <f t="shared" si="18"/>
        <v>26.7</v>
      </c>
      <c r="U88" s="59">
        <v>1</v>
      </c>
      <c r="V88" s="56">
        <f t="shared" si="19"/>
        <v>1</v>
      </c>
      <c r="W88" s="50">
        <v>7.9</v>
      </c>
      <c r="X88" s="50">
        <f t="shared" si="20"/>
        <v>7.9</v>
      </c>
      <c r="Y88" s="50">
        <v>44</v>
      </c>
      <c r="Z88" s="50">
        <f t="shared" si="23"/>
        <v>44</v>
      </c>
      <c r="AA88" s="50">
        <v>2.4</v>
      </c>
      <c r="AB88" s="50">
        <f t="shared" si="16"/>
        <v>2.4</v>
      </c>
      <c r="AC88" s="50">
        <v>3</v>
      </c>
      <c r="AD88" s="50">
        <f t="shared" si="22"/>
        <v>3</v>
      </c>
    </row>
    <row r="89" spans="1:30" ht="15.75" customHeight="1" x14ac:dyDescent="0.2">
      <c r="A89" s="56">
        <v>4</v>
      </c>
      <c r="B89" s="56" t="s">
        <v>179</v>
      </c>
      <c r="C89" s="56" t="s">
        <v>159</v>
      </c>
      <c r="D89" s="58" t="s">
        <v>17</v>
      </c>
      <c r="E89" s="58" t="s">
        <v>406</v>
      </c>
      <c r="F89" s="56" t="s">
        <v>242</v>
      </c>
      <c r="G89" s="56">
        <v>1</v>
      </c>
      <c r="H89" s="56" t="s">
        <v>29</v>
      </c>
      <c r="I89" s="69">
        <v>50</v>
      </c>
      <c r="J89" s="69">
        <v>1</v>
      </c>
      <c r="K89" s="69"/>
      <c r="L89" s="69">
        <f t="shared" si="13"/>
        <v>1</v>
      </c>
      <c r="M89" s="69">
        <f t="shared" si="24"/>
        <v>50</v>
      </c>
      <c r="N89" s="61" t="s">
        <v>430</v>
      </c>
      <c r="O89" s="56">
        <v>99.5</v>
      </c>
      <c r="P89" s="56">
        <f t="shared" si="17"/>
        <v>99.5</v>
      </c>
      <c r="Q89" s="56">
        <v>6.75</v>
      </c>
      <c r="R89" s="56">
        <f t="shared" si="25"/>
        <v>6.75</v>
      </c>
      <c r="S89" s="56">
        <v>0.7</v>
      </c>
      <c r="T89" s="56">
        <f t="shared" si="18"/>
        <v>0.7</v>
      </c>
      <c r="U89" s="59">
        <v>7.5</v>
      </c>
      <c r="V89" s="56">
        <f t="shared" si="19"/>
        <v>7.5</v>
      </c>
      <c r="W89" s="50">
        <v>0</v>
      </c>
      <c r="X89" s="50">
        <f t="shared" si="20"/>
        <v>0</v>
      </c>
      <c r="Y89" s="50">
        <v>27.5</v>
      </c>
      <c r="Z89" s="50">
        <f t="shared" si="23"/>
        <v>27.5</v>
      </c>
      <c r="AA89" s="50">
        <v>0.8</v>
      </c>
      <c r="AB89" s="50">
        <f t="shared" si="16"/>
        <v>0.8</v>
      </c>
      <c r="AC89" s="50">
        <v>176.5</v>
      </c>
      <c r="AD89" s="50">
        <f t="shared" si="22"/>
        <v>176.5</v>
      </c>
    </row>
    <row r="90" spans="1:30" ht="15.75" customHeight="1" x14ac:dyDescent="0.2">
      <c r="A90" s="56">
        <v>4</v>
      </c>
      <c r="B90" s="56" t="s">
        <v>179</v>
      </c>
      <c r="C90" s="56" t="s">
        <v>159</v>
      </c>
      <c r="D90" s="60" t="s">
        <v>44</v>
      </c>
      <c r="E90" s="58" t="s">
        <v>418</v>
      </c>
      <c r="F90" s="56" t="s">
        <v>57</v>
      </c>
      <c r="G90" s="56">
        <v>1</v>
      </c>
      <c r="H90" s="56" t="s">
        <v>66</v>
      </c>
      <c r="I90" s="56">
        <v>100</v>
      </c>
      <c r="J90" s="56">
        <v>0.1</v>
      </c>
      <c r="K90" s="69"/>
      <c r="L90" s="69">
        <f t="shared" si="13"/>
        <v>0.1</v>
      </c>
      <c r="M90" s="69">
        <f t="shared" si="24"/>
        <v>10</v>
      </c>
      <c r="N90" s="61"/>
      <c r="O90" s="56">
        <v>1.8</v>
      </c>
      <c r="P90" s="56">
        <f t="shared" si="17"/>
        <v>0.18</v>
      </c>
      <c r="Q90" s="56">
        <v>0.13</v>
      </c>
      <c r="R90" s="56">
        <f t="shared" si="25"/>
        <v>1.3000000000000001E-2</v>
      </c>
      <c r="S90" s="56">
        <v>0.35</v>
      </c>
      <c r="T90" s="56">
        <f t="shared" si="18"/>
        <v>3.5000000000000003E-2</v>
      </c>
      <c r="U90" s="59">
        <v>0.03</v>
      </c>
      <c r="V90" s="56">
        <f t="shared" si="19"/>
        <v>3.0000000000000001E-3</v>
      </c>
      <c r="W90" s="50">
        <v>0.19</v>
      </c>
      <c r="X90" s="50">
        <f t="shared" si="20"/>
        <v>1.9E-2</v>
      </c>
      <c r="Y90" s="50">
        <v>0.68</v>
      </c>
      <c r="Z90" s="50">
        <f t="shared" si="23"/>
        <v>6.8000000000000005E-2</v>
      </c>
      <c r="AA90" s="50">
        <v>0.14000000000000001</v>
      </c>
      <c r="AB90" s="50">
        <f t="shared" si="16"/>
        <v>1.4000000000000002E-2</v>
      </c>
      <c r="AC90" s="50">
        <v>0.8</v>
      </c>
      <c r="AD90" s="50">
        <f t="shared" si="22"/>
        <v>0.08</v>
      </c>
    </row>
    <row r="91" spans="1:30" ht="15.75" customHeight="1" x14ac:dyDescent="0.2">
      <c r="A91" s="56">
        <v>4</v>
      </c>
      <c r="B91" s="56" t="s">
        <v>179</v>
      </c>
      <c r="C91" s="56" t="s">
        <v>159</v>
      </c>
      <c r="D91" s="58" t="s">
        <v>17</v>
      </c>
      <c r="E91" s="58" t="s">
        <v>23</v>
      </c>
      <c r="F91" s="56" t="s">
        <v>243</v>
      </c>
      <c r="G91" s="56">
        <v>1</v>
      </c>
      <c r="H91" s="56" t="s">
        <v>244</v>
      </c>
      <c r="I91" s="69">
        <v>5</v>
      </c>
      <c r="J91" s="69">
        <v>1</v>
      </c>
      <c r="K91" s="69"/>
      <c r="L91" s="69">
        <f t="shared" si="13"/>
        <v>1</v>
      </c>
      <c r="M91" s="69">
        <f t="shared" si="24"/>
        <v>5</v>
      </c>
      <c r="N91" s="61"/>
      <c r="O91" s="56">
        <v>45</v>
      </c>
      <c r="P91" s="56">
        <f t="shared" si="17"/>
        <v>45</v>
      </c>
      <c r="Q91" s="56">
        <v>0</v>
      </c>
      <c r="R91" s="56">
        <f t="shared" si="25"/>
        <v>0</v>
      </c>
      <c r="S91" s="56">
        <v>0</v>
      </c>
      <c r="T91" s="56">
        <f t="shared" si="18"/>
        <v>0</v>
      </c>
      <c r="U91" s="59">
        <v>5</v>
      </c>
      <c r="V91" s="56">
        <f t="shared" si="19"/>
        <v>5</v>
      </c>
      <c r="W91" s="50">
        <v>0</v>
      </c>
      <c r="X91" s="50">
        <f t="shared" si="20"/>
        <v>0</v>
      </c>
      <c r="Y91" s="50">
        <v>0</v>
      </c>
      <c r="Z91" s="50">
        <f t="shared" si="23"/>
        <v>0</v>
      </c>
      <c r="AA91" s="50">
        <v>0</v>
      </c>
      <c r="AB91" s="50">
        <f t="shared" si="16"/>
        <v>0</v>
      </c>
      <c r="AC91" s="50">
        <v>0</v>
      </c>
      <c r="AD91" s="50">
        <f t="shared" si="22"/>
        <v>0</v>
      </c>
    </row>
    <row r="92" spans="1:30" ht="15.75" customHeight="1" x14ac:dyDescent="0.2">
      <c r="A92" s="56">
        <v>4</v>
      </c>
      <c r="B92" s="56" t="s">
        <v>179</v>
      </c>
      <c r="C92" s="56" t="s">
        <v>159</v>
      </c>
      <c r="D92" s="73" t="s">
        <v>224</v>
      </c>
      <c r="E92" s="58" t="s">
        <v>18</v>
      </c>
      <c r="F92" s="56" t="s">
        <v>119</v>
      </c>
      <c r="G92" s="56">
        <v>1</v>
      </c>
      <c r="H92" s="56" t="s">
        <v>71</v>
      </c>
      <c r="I92" s="69">
        <v>112</v>
      </c>
      <c r="J92" s="69">
        <v>1</v>
      </c>
      <c r="K92" s="69"/>
      <c r="L92" s="69">
        <f t="shared" si="13"/>
        <v>1</v>
      </c>
      <c r="M92" s="69">
        <f t="shared" si="24"/>
        <v>112</v>
      </c>
      <c r="N92" s="61"/>
      <c r="O92" s="56">
        <v>73</v>
      </c>
      <c r="P92" s="56">
        <f t="shared" si="17"/>
        <v>73</v>
      </c>
      <c r="Q92" s="56">
        <v>0.2</v>
      </c>
      <c r="R92" s="56">
        <f t="shared" si="25"/>
        <v>0.2</v>
      </c>
      <c r="S92" s="56">
        <v>17.100000000000001</v>
      </c>
      <c r="T92" s="56">
        <f t="shared" si="18"/>
        <v>17.100000000000001</v>
      </c>
      <c r="U92" s="59">
        <v>0.4</v>
      </c>
      <c r="V92" s="56">
        <f t="shared" si="19"/>
        <v>0.4</v>
      </c>
      <c r="W92" s="50">
        <v>3</v>
      </c>
      <c r="X92" s="50">
        <f t="shared" si="20"/>
        <v>3</v>
      </c>
      <c r="Y92" s="50">
        <v>8</v>
      </c>
      <c r="Z92" s="50">
        <f t="shared" si="23"/>
        <v>8</v>
      </c>
      <c r="AA92" s="50">
        <v>0.2</v>
      </c>
      <c r="AB92" s="50">
        <f t="shared" si="16"/>
        <v>0.2</v>
      </c>
      <c r="AC92" s="50">
        <v>0</v>
      </c>
      <c r="AD92" s="50">
        <f t="shared" si="22"/>
        <v>0</v>
      </c>
    </row>
    <row r="93" spans="1:30" ht="15.75" customHeight="1" x14ac:dyDescent="0.2">
      <c r="A93" s="56">
        <v>4</v>
      </c>
      <c r="B93" s="56" t="s">
        <v>179</v>
      </c>
      <c r="C93" s="56" t="s">
        <v>159</v>
      </c>
      <c r="D93" s="60" t="s">
        <v>264</v>
      </c>
      <c r="E93" s="58" t="s">
        <v>426</v>
      </c>
      <c r="F93" s="56" t="s">
        <v>111</v>
      </c>
      <c r="G93" s="56">
        <v>1</v>
      </c>
      <c r="H93" s="56" t="s">
        <v>103</v>
      </c>
      <c r="I93" s="69">
        <v>30</v>
      </c>
      <c r="J93" s="69">
        <v>0.3</v>
      </c>
      <c r="K93" s="69"/>
      <c r="L93" s="69">
        <f t="shared" si="13"/>
        <v>0.3</v>
      </c>
      <c r="M93" s="69">
        <f t="shared" si="24"/>
        <v>9</v>
      </c>
      <c r="N93" s="61" t="s">
        <v>266</v>
      </c>
      <c r="O93" s="56">
        <v>56</v>
      </c>
      <c r="P93" s="56">
        <f t="shared" si="17"/>
        <v>16.8</v>
      </c>
      <c r="Q93" s="56">
        <v>1.5</v>
      </c>
      <c r="R93" s="56">
        <f t="shared" si="25"/>
        <v>0.45</v>
      </c>
      <c r="S93" s="56">
        <v>2.2000000000000002</v>
      </c>
      <c r="T93" s="56">
        <f t="shared" si="18"/>
        <v>0.66</v>
      </c>
      <c r="U93" s="59">
        <v>4.5999999999999996</v>
      </c>
      <c r="V93" s="56">
        <f t="shared" si="19"/>
        <v>1.38</v>
      </c>
      <c r="W93" s="50">
        <v>1.2</v>
      </c>
      <c r="X93" s="50">
        <f t="shared" si="20"/>
        <v>0.36</v>
      </c>
      <c r="Y93" s="50">
        <v>25</v>
      </c>
      <c r="Z93" s="50">
        <f t="shared" si="23"/>
        <v>7.5</v>
      </c>
      <c r="AA93" s="50">
        <v>0.3</v>
      </c>
      <c r="AB93" s="50">
        <f t="shared" si="16"/>
        <v>0.09</v>
      </c>
      <c r="AC93" s="50">
        <v>1</v>
      </c>
      <c r="AD93" s="50">
        <f t="shared" si="22"/>
        <v>0.3</v>
      </c>
    </row>
    <row r="94" spans="1:30" ht="15.75" customHeight="1" x14ac:dyDescent="0.2">
      <c r="A94" s="56">
        <v>4</v>
      </c>
      <c r="B94" s="56" t="s">
        <v>179</v>
      </c>
      <c r="C94" s="56" t="s">
        <v>159</v>
      </c>
      <c r="D94" s="58" t="s">
        <v>17</v>
      </c>
      <c r="E94" s="58" t="s">
        <v>18</v>
      </c>
      <c r="F94" s="56" t="s">
        <v>247</v>
      </c>
      <c r="G94" s="56">
        <v>1</v>
      </c>
      <c r="H94" s="56" t="s">
        <v>248</v>
      </c>
      <c r="I94" s="69">
        <v>110</v>
      </c>
      <c r="J94" s="69">
        <v>1</v>
      </c>
      <c r="K94" s="69"/>
      <c r="L94" s="69">
        <f t="shared" si="13"/>
        <v>1</v>
      </c>
      <c r="M94" s="69">
        <f t="shared" si="24"/>
        <v>110</v>
      </c>
      <c r="N94" s="61"/>
      <c r="O94" s="56">
        <v>60</v>
      </c>
      <c r="P94" s="56">
        <f t="shared" si="17"/>
        <v>60</v>
      </c>
      <c r="Q94" s="56">
        <v>0.4</v>
      </c>
      <c r="R94" s="56">
        <f t="shared" si="25"/>
        <v>0.4</v>
      </c>
      <c r="S94" s="56">
        <v>13.6</v>
      </c>
      <c r="T94" s="56">
        <f t="shared" si="18"/>
        <v>13.6</v>
      </c>
      <c r="U94" s="59">
        <v>0.4</v>
      </c>
      <c r="V94" s="56">
        <f t="shared" si="19"/>
        <v>0.4</v>
      </c>
      <c r="W94" s="50">
        <v>1.3</v>
      </c>
      <c r="X94" s="50">
        <f t="shared" si="20"/>
        <v>1.3</v>
      </c>
      <c r="Y94" s="50">
        <v>8</v>
      </c>
      <c r="Z94" s="50">
        <f t="shared" si="23"/>
        <v>8</v>
      </c>
      <c r="AA94" s="50">
        <v>0.4</v>
      </c>
      <c r="AB94" s="50">
        <f t="shared" si="16"/>
        <v>0.4</v>
      </c>
      <c r="AC94" s="50">
        <v>1</v>
      </c>
      <c r="AD94" s="50">
        <f t="shared" si="22"/>
        <v>1</v>
      </c>
    </row>
    <row r="95" spans="1:30" ht="15.75" customHeight="1" x14ac:dyDescent="0.2">
      <c r="A95" s="56">
        <v>4</v>
      </c>
      <c r="B95" s="56" t="s">
        <v>179</v>
      </c>
      <c r="C95" s="56" t="s">
        <v>159</v>
      </c>
      <c r="D95" s="60" t="s">
        <v>44</v>
      </c>
      <c r="E95" s="58" t="s">
        <v>36</v>
      </c>
      <c r="F95" s="56" t="s">
        <v>255</v>
      </c>
      <c r="G95" s="56">
        <f>1/4</f>
        <v>0.25</v>
      </c>
      <c r="H95" s="56" t="s">
        <v>35</v>
      </c>
      <c r="I95" s="69">
        <v>80</v>
      </c>
      <c r="J95" s="69">
        <v>1</v>
      </c>
      <c r="K95" s="69"/>
      <c r="L95" s="69">
        <f t="shared" si="13"/>
        <v>1</v>
      </c>
      <c r="M95" s="69">
        <f t="shared" si="24"/>
        <v>80</v>
      </c>
      <c r="N95" s="59" t="s">
        <v>407</v>
      </c>
      <c r="O95" s="56">
        <v>83</v>
      </c>
      <c r="P95" s="56">
        <f t="shared" si="17"/>
        <v>83</v>
      </c>
      <c r="Q95" s="56">
        <v>18.5</v>
      </c>
      <c r="R95" s="56">
        <f t="shared" si="25"/>
        <v>18.5</v>
      </c>
      <c r="S95" s="56">
        <v>0</v>
      </c>
      <c r="T95" s="56">
        <f t="shared" si="18"/>
        <v>0</v>
      </c>
      <c r="U95" s="59">
        <v>1</v>
      </c>
      <c r="V95" s="56">
        <f t="shared" si="19"/>
        <v>1</v>
      </c>
      <c r="W95" s="50">
        <v>0</v>
      </c>
      <c r="X95" s="50">
        <f t="shared" si="20"/>
        <v>0</v>
      </c>
      <c r="Y95" s="50">
        <v>9</v>
      </c>
      <c r="Z95" s="50">
        <f t="shared" si="23"/>
        <v>9</v>
      </c>
      <c r="AA95" s="50">
        <v>0.6</v>
      </c>
      <c r="AB95" s="50">
        <f t="shared" si="16"/>
        <v>0.6</v>
      </c>
      <c r="AC95" s="50">
        <v>52</v>
      </c>
      <c r="AD95" s="50">
        <f t="shared" si="22"/>
        <v>52</v>
      </c>
    </row>
    <row r="96" spans="1:30" ht="15.75" customHeight="1" x14ac:dyDescent="0.2">
      <c r="A96" s="56">
        <v>4</v>
      </c>
      <c r="B96" s="56" t="s">
        <v>179</v>
      </c>
      <c r="C96" s="56" t="s">
        <v>159</v>
      </c>
      <c r="D96" s="58" t="s">
        <v>17</v>
      </c>
      <c r="E96" s="58" t="s">
        <v>406</v>
      </c>
      <c r="F96" s="56" t="s">
        <v>240</v>
      </c>
      <c r="G96" s="56">
        <v>1</v>
      </c>
      <c r="H96" s="56" t="s">
        <v>241</v>
      </c>
      <c r="I96" s="69">
        <v>30</v>
      </c>
      <c r="J96" s="69">
        <v>1</v>
      </c>
      <c r="K96" s="69"/>
      <c r="L96" s="69">
        <f t="shared" si="13"/>
        <v>1</v>
      </c>
      <c r="M96" s="69">
        <f t="shared" si="24"/>
        <v>30</v>
      </c>
      <c r="N96" s="61"/>
      <c r="O96" s="56">
        <v>83</v>
      </c>
      <c r="P96" s="56">
        <f t="shared" si="17"/>
        <v>83</v>
      </c>
      <c r="Q96" s="56">
        <v>6.5</v>
      </c>
      <c r="R96" s="56">
        <f t="shared" si="25"/>
        <v>6.5</v>
      </c>
      <c r="S96" s="56">
        <v>1.5</v>
      </c>
      <c r="T96" s="56">
        <f t="shared" si="18"/>
        <v>1.5</v>
      </c>
      <c r="U96" s="59">
        <v>5.7</v>
      </c>
      <c r="V96" s="56">
        <f t="shared" si="19"/>
        <v>5.7</v>
      </c>
      <c r="W96" s="50">
        <v>0</v>
      </c>
      <c r="X96" s="50">
        <f t="shared" si="20"/>
        <v>0</v>
      </c>
      <c r="Y96" s="50">
        <v>207</v>
      </c>
      <c r="Z96" s="50">
        <f t="shared" si="23"/>
        <v>207</v>
      </c>
      <c r="AA96" s="50">
        <v>0.2</v>
      </c>
      <c r="AB96" s="50">
        <f t="shared" ref="AB96:AB127" si="26">(AA96*M96)/I96</f>
        <v>0.2</v>
      </c>
      <c r="AC96" s="50">
        <v>112</v>
      </c>
      <c r="AD96" s="50">
        <f t="shared" si="22"/>
        <v>112</v>
      </c>
    </row>
    <row r="97" spans="1:30" ht="15.75" customHeight="1" x14ac:dyDescent="0.2">
      <c r="A97" s="56">
        <v>4</v>
      </c>
      <c r="B97" s="56" t="s">
        <v>179</v>
      </c>
      <c r="C97" s="56" t="s">
        <v>159</v>
      </c>
      <c r="D97" s="58" t="s">
        <v>17</v>
      </c>
      <c r="E97" s="58" t="s">
        <v>428</v>
      </c>
      <c r="F97" s="56" t="s">
        <v>245</v>
      </c>
      <c r="G97" s="56">
        <v>1</v>
      </c>
      <c r="H97" s="56" t="s">
        <v>246</v>
      </c>
      <c r="I97" s="69"/>
      <c r="J97" s="69"/>
      <c r="K97" s="69"/>
      <c r="L97" s="69">
        <f t="shared" si="13"/>
        <v>0</v>
      </c>
      <c r="M97" s="69">
        <f t="shared" si="24"/>
        <v>0</v>
      </c>
      <c r="N97" s="61"/>
      <c r="O97" s="56"/>
      <c r="P97" s="56" t="e">
        <f t="shared" si="17"/>
        <v>#DIV/0!</v>
      </c>
      <c r="Q97" s="56"/>
      <c r="R97" s="56" t="e">
        <f t="shared" si="25"/>
        <v>#DIV/0!</v>
      </c>
      <c r="S97" s="56"/>
      <c r="T97" s="56" t="e">
        <f t="shared" si="18"/>
        <v>#DIV/0!</v>
      </c>
      <c r="U97" s="59"/>
      <c r="V97" s="56" t="e">
        <f t="shared" si="19"/>
        <v>#DIV/0!</v>
      </c>
      <c r="W97" s="50"/>
      <c r="X97" s="50" t="e">
        <f t="shared" si="20"/>
        <v>#DIV/0!</v>
      </c>
      <c r="Y97" s="50"/>
      <c r="Z97" s="50" t="e">
        <f t="shared" si="23"/>
        <v>#DIV/0!</v>
      </c>
      <c r="AA97" s="50"/>
      <c r="AB97" s="50" t="e">
        <f t="shared" si="26"/>
        <v>#DIV/0!</v>
      </c>
      <c r="AC97" s="50"/>
      <c r="AD97" s="50" t="e">
        <f t="shared" si="22"/>
        <v>#DIV/0!</v>
      </c>
    </row>
    <row r="98" spans="1:30" ht="15.75" customHeight="1" x14ac:dyDescent="0.2">
      <c r="A98" s="56">
        <v>4</v>
      </c>
      <c r="B98" s="56" t="s">
        <v>179</v>
      </c>
      <c r="C98" s="56" t="s">
        <v>159</v>
      </c>
      <c r="D98" s="60" t="s">
        <v>44</v>
      </c>
      <c r="E98" s="58" t="s">
        <v>410</v>
      </c>
      <c r="F98" s="56" t="s">
        <v>252</v>
      </c>
      <c r="G98" s="56">
        <v>0.25</v>
      </c>
      <c r="H98" s="56" t="s">
        <v>53</v>
      </c>
      <c r="I98" s="69">
        <v>66</v>
      </c>
      <c r="J98" s="69">
        <v>1</v>
      </c>
      <c r="K98" s="69"/>
      <c r="L98" s="69">
        <f t="shared" si="13"/>
        <v>1</v>
      </c>
      <c r="M98" s="69">
        <f t="shared" si="24"/>
        <v>66</v>
      </c>
      <c r="N98" s="61" t="s">
        <v>436</v>
      </c>
      <c r="O98" s="56">
        <v>101</v>
      </c>
      <c r="P98" s="56">
        <f t="shared" si="17"/>
        <v>101</v>
      </c>
      <c r="Q98" s="56">
        <v>0.7</v>
      </c>
      <c r="R98" s="56">
        <f t="shared" si="25"/>
        <v>0.7</v>
      </c>
      <c r="S98" s="56">
        <v>24</v>
      </c>
      <c r="T98" s="56">
        <f t="shared" ref="T98:T129" si="27">(S98*M98)/I98</f>
        <v>24</v>
      </c>
      <c r="U98" s="59">
        <v>0.3</v>
      </c>
      <c r="V98" s="56">
        <f t="shared" si="19"/>
        <v>0.3</v>
      </c>
      <c r="W98" s="50">
        <v>1.5</v>
      </c>
      <c r="X98" s="50">
        <f t="shared" si="20"/>
        <v>1.5</v>
      </c>
      <c r="Y98" s="50">
        <v>3</v>
      </c>
      <c r="Z98" s="50">
        <f t="shared" si="23"/>
        <v>3</v>
      </c>
      <c r="AA98" s="50">
        <v>0.3</v>
      </c>
      <c r="AB98" s="50">
        <f t="shared" si="26"/>
        <v>0.3</v>
      </c>
      <c r="AC98" s="50">
        <v>3</v>
      </c>
      <c r="AD98" s="50">
        <f t="shared" si="22"/>
        <v>3</v>
      </c>
    </row>
    <row r="99" spans="1:30" ht="15.75" customHeight="1" x14ac:dyDescent="0.2">
      <c r="A99" s="56">
        <v>4</v>
      </c>
      <c r="B99" s="56" t="s">
        <v>179</v>
      </c>
      <c r="C99" s="56" t="s">
        <v>159</v>
      </c>
      <c r="D99" s="60" t="s">
        <v>44</v>
      </c>
      <c r="E99" s="58" t="s">
        <v>418</v>
      </c>
      <c r="F99" s="56" t="s">
        <v>70</v>
      </c>
      <c r="G99" s="56">
        <v>1</v>
      </c>
      <c r="H99" s="56" t="s">
        <v>71</v>
      </c>
      <c r="I99" s="69">
        <v>132</v>
      </c>
      <c r="J99" s="69">
        <v>1</v>
      </c>
      <c r="K99" s="69"/>
      <c r="L99" s="69">
        <f t="shared" si="13"/>
        <v>1</v>
      </c>
      <c r="M99" s="69">
        <f t="shared" si="24"/>
        <v>132</v>
      </c>
      <c r="N99" s="61"/>
      <c r="O99" s="56"/>
      <c r="P99" s="56">
        <f t="shared" si="17"/>
        <v>0</v>
      </c>
      <c r="Q99" s="56"/>
      <c r="R99" s="56">
        <f t="shared" si="25"/>
        <v>0</v>
      </c>
      <c r="S99" s="56"/>
      <c r="T99" s="56">
        <f t="shared" si="27"/>
        <v>0</v>
      </c>
      <c r="U99" s="59"/>
      <c r="V99" s="56">
        <f t="shared" si="19"/>
        <v>0</v>
      </c>
      <c r="W99" s="50"/>
      <c r="X99" s="50">
        <f t="shared" si="20"/>
        <v>0</v>
      </c>
      <c r="Y99" s="50"/>
      <c r="Z99" s="50">
        <f t="shared" si="23"/>
        <v>0</v>
      </c>
      <c r="AA99" s="50"/>
      <c r="AB99" s="50">
        <f t="shared" si="26"/>
        <v>0</v>
      </c>
      <c r="AC99" s="50"/>
      <c r="AD99" s="50">
        <f t="shared" si="22"/>
        <v>0</v>
      </c>
    </row>
    <row r="100" spans="1:30" ht="15.75" customHeight="1" x14ac:dyDescent="0.2">
      <c r="A100" s="56">
        <v>4</v>
      </c>
      <c r="B100" s="56" t="s">
        <v>179</v>
      </c>
      <c r="C100" s="56" t="s">
        <v>159</v>
      </c>
      <c r="D100" s="64" t="s">
        <v>97</v>
      </c>
      <c r="E100" s="58" t="s">
        <v>404</v>
      </c>
      <c r="F100" s="56" t="s">
        <v>261</v>
      </c>
      <c r="G100" s="56">
        <v>1</v>
      </c>
      <c r="H100" s="56" t="s">
        <v>262</v>
      </c>
      <c r="I100" s="69">
        <v>200</v>
      </c>
      <c r="J100" s="69">
        <v>1.2</v>
      </c>
      <c r="K100" s="69"/>
      <c r="L100" s="69">
        <f t="shared" si="13"/>
        <v>1.2</v>
      </c>
      <c r="M100" s="69">
        <f t="shared" si="24"/>
        <v>240</v>
      </c>
      <c r="N100" s="61" t="s">
        <v>263</v>
      </c>
      <c r="O100" s="56"/>
      <c r="P100" s="56">
        <f t="shared" si="17"/>
        <v>0</v>
      </c>
      <c r="Q100" s="56"/>
      <c r="R100" s="56">
        <f t="shared" si="25"/>
        <v>0</v>
      </c>
      <c r="S100" s="56"/>
      <c r="T100" s="56">
        <f t="shared" si="27"/>
        <v>0</v>
      </c>
      <c r="U100" s="59"/>
      <c r="V100" s="56">
        <f t="shared" si="19"/>
        <v>0</v>
      </c>
      <c r="W100" s="50"/>
      <c r="X100" s="50">
        <f t="shared" si="20"/>
        <v>0</v>
      </c>
      <c r="Y100" s="50"/>
      <c r="Z100" s="50">
        <f t="shared" ref="Z100:Z131" si="28">(Y100*M100)/I100</f>
        <v>0</v>
      </c>
      <c r="AA100" s="50"/>
      <c r="AB100" s="50">
        <f t="shared" si="26"/>
        <v>0</v>
      </c>
      <c r="AC100" s="50"/>
      <c r="AD100" s="50">
        <f t="shared" si="22"/>
        <v>0</v>
      </c>
    </row>
    <row r="101" spans="1:30" ht="15.75" customHeight="1" x14ac:dyDescent="0.2">
      <c r="A101" s="56">
        <v>4</v>
      </c>
      <c r="B101" s="56" t="s">
        <v>179</v>
      </c>
      <c r="C101" s="56" t="s">
        <v>159</v>
      </c>
      <c r="D101" s="60" t="s">
        <v>44</v>
      </c>
      <c r="E101" s="58" t="s">
        <v>418</v>
      </c>
      <c r="F101" s="56" t="s">
        <v>67</v>
      </c>
      <c r="G101" s="56">
        <v>0.5</v>
      </c>
      <c r="H101" s="56" t="s">
        <v>230</v>
      </c>
      <c r="I101" s="69">
        <v>58</v>
      </c>
      <c r="J101" s="69">
        <v>1</v>
      </c>
      <c r="K101" s="69"/>
      <c r="L101" s="69">
        <f t="shared" si="13"/>
        <v>1</v>
      </c>
      <c r="M101" s="69">
        <f t="shared" si="24"/>
        <v>58</v>
      </c>
      <c r="N101" s="61"/>
      <c r="O101" s="56">
        <v>27</v>
      </c>
      <c r="P101" s="56">
        <f t="shared" si="17"/>
        <v>27</v>
      </c>
      <c r="Q101" s="56">
        <v>0.6</v>
      </c>
      <c r="R101" s="56">
        <f t="shared" si="25"/>
        <v>0.6</v>
      </c>
      <c r="S101" s="56">
        <v>5.9</v>
      </c>
      <c r="T101" s="56">
        <f t="shared" si="27"/>
        <v>5.9</v>
      </c>
      <c r="U101" s="59">
        <v>0.1</v>
      </c>
      <c r="V101" s="56">
        <f t="shared" si="19"/>
        <v>0.1</v>
      </c>
      <c r="W101" s="50">
        <v>1.7</v>
      </c>
      <c r="X101" s="50">
        <f t="shared" si="20"/>
        <v>1.7</v>
      </c>
      <c r="Y101" s="50">
        <v>16</v>
      </c>
      <c r="Z101" s="50">
        <f t="shared" si="28"/>
        <v>16</v>
      </c>
      <c r="AA101" s="50">
        <v>0.3</v>
      </c>
      <c r="AB101" s="50">
        <f t="shared" si="26"/>
        <v>0.3</v>
      </c>
      <c r="AC101" s="50">
        <v>20</v>
      </c>
      <c r="AD101" s="50">
        <f t="shared" si="22"/>
        <v>20</v>
      </c>
    </row>
    <row r="102" spans="1:30" ht="15.75" customHeight="1" x14ac:dyDescent="0.2">
      <c r="A102" s="56">
        <v>5</v>
      </c>
      <c r="B102" s="56" t="s">
        <v>179</v>
      </c>
      <c r="C102" s="56" t="s">
        <v>167</v>
      </c>
      <c r="D102" s="58" t="s">
        <v>17</v>
      </c>
      <c r="E102" s="58" t="s">
        <v>23</v>
      </c>
      <c r="F102" s="56" t="s">
        <v>269</v>
      </c>
      <c r="G102" s="56">
        <v>1</v>
      </c>
      <c r="H102" s="56" t="s">
        <v>270</v>
      </c>
      <c r="I102" s="56">
        <v>3</v>
      </c>
      <c r="J102" s="56">
        <v>1</v>
      </c>
      <c r="K102" s="56"/>
      <c r="L102" s="69">
        <f t="shared" si="13"/>
        <v>1</v>
      </c>
      <c r="M102" s="56">
        <f t="shared" ref="M102:M133" si="29">I102*L102</f>
        <v>3</v>
      </c>
      <c r="N102" s="59" t="s">
        <v>271</v>
      </c>
      <c r="O102" s="56">
        <v>45</v>
      </c>
      <c r="P102" s="56">
        <f t="shared" si="17"/>
        <v>45</v>
      </c>
      <c r="Q102" s="56">
        <v>0</v>
      </c>
      <c r="R102" s="56">
        <f t="shared" si="25"/>
        <v>0</v>
      </c>
      <c r="S102" s="56">
        <v>0</v>
      </c>
      <c r="T102" s="56">
        <f t="shared" si="27"/>
        <v>0</v>
      </c>
      <c r="U102" s="59">
        <v>5</v>
      </c>
      <c r="V102" s="56">
        <f t="shared" si="19"/>
        <v>5</v>
      </c>
      <c r="W102" s="50">
        <v>0</v>
      </c>
      <c r="X102" s="50">
        <f t="shared" si="20"/>
        <v>0</v>
      </c>
      <c r="Y102" s="50">
        <v>0</v>
      </c>
      <c r="Z102" s="50">
        <f t="shared" si="28"/>
        <v>0</v>
      </c>
      <c r="AA102" s="50">
        <v>0</v>
      </c>
      <c r="AB102" s="50">
        <f t="shared" si="26"/>
        <v>0</v>
      </c>
      <c r="AC102" s="50">
        <v>0</v>
      </c>
      <c r="AD102" s="50">
        <f t="shared" si="22"/>
        <v>0</v>
      </c>
    </row>
    <row r="103" spans="1:30" ht="15.75" customHeight="1" x14ac:dyDescent="0.2">
      <c r="A103" s="56">
        <v>5</v>
      </c>
      <c r="B103" s="56" t="s">
        <v>179</v>
      </c>
      <c r="C103" s="56" t="s">
        <v>167</v>
      </c>
      <c r="D103" s="58" t="s">
        <v>17</v>
      </c>
      <c r="E103" s="58" t="s">
        <v>23</v>
      </c>
      <c r="F103" s="56" t="s">
        <v>62</v>
      </c>
      <c r="G103" s="56">
        <v>0.125</v>
      </c>
      <c r="H103" s="56" t="s">
        <v>53</v>
      </c>
      <c r="I103" s="56">
        <v>30</v>
      </c>
      <c r="J103" s="56">
        <v>2</v>
      </c>
      <c r="K103" s="56"/>
      <c r="L103" s="69">
        <f t="shared" si="13"/>
        <v>2</v>
      </c>
      <c r="M103" s="56">
        <f t="shared" si="29"/>
        <v>60</v>
      </c>
      <c r="N103" s="59"/>
      <c r="O103" s="56">
        <v>53</v>
      </c>
      <c r="P103" s="56">
        <f t="shared" si="17"/>
        <v>106</v>
      </c>
      <c r="Q103" s="56">
        <v>0.6</v>
      </c>
      <c r="R103" s="56">
        <f t="shared" si="25"/>
        <v>1.2</v>
      </c>
      <c r="S103" s="56">
        <v>2.2000000000000002</v>
      </c>
      <c r="T103" s="56">
        <f t="shared" si="27"/>
        <v>4.4000000000000004</v>
      </c>
      <c r="U103" s="59">
        <v>4.5999999999999996</v>
      </c>
      <c r="V103" s="56">
        <f t="shared" si="19"/>
        <v>9.1999999999999993</v>
      </c>
      <c r="W103" s="50">
        <v>1.5</v>
      </c>
      <c r="X103" s="50">
        <f t="shared" si="20"/>
        <v>3</v>
      </c>
      <c r="Y103" s="50">
        <v>3</v>
      </c>
      <c r="Z103" s="50">
        <f t="shared" si="28"/>
        <v>6</v>
      </c>
      <c r="AA103" s="50">
        <v>0.3</v>
      </c>
      <c r="AB103" s="50">
        <f t="shared" si="26"/>
        <v>0.6</v>
      </c>
      <c r="AC103" s="50">
        <v>3</v>
      </c>
      <c r="AD103" s="50">
        <f t="shared" si="22"/>
        <v>6</v>
      </c>
    </row>
    <row r="104" spans="1:30" ht="15.75" customHeight="1" x14ac:dyDescent="0.2">
      <c r="A104" s="56">
        <v>5</v>
      </c>
      <c r="B104" s="56" t="s">
        <v>179</v>
      </c>
      <c r="C104" s="56" t="s">
        <v>167</v>
      </c>
      <c r="D104" s="58" t="s">
        <v>44</v>
      </c>
      <c r="E104" s="58" t="s">
        <v>23</v>
      </c>
      <c r="F104" s="56" t="s">
        <v>62</v>
      </c>
      <c r="G104" s="56">
        <v>0.125</v>
      </c>
      <c r="H104" s="56" t="s">
        <v>53</v>
      </c>
      <c r="I104" s="56">
        <v>30</v>
      </c>
      <c r="J104" s="56">
        <v>2</v>
      </c>
      <c r="K104" s="56"/>
      <c r="L104" s="69">
        <f t="shared" ref="L104:L167" si="30">IF(J104=0,(K104/G104),J104)</f>
        <v>2</v>
      </c>
      <c r="M104" s="56">
        <f t="shared" si="29"/>
        <v>60</v>
      </c>
      <c r="N104" s="59"/>
      <c r="O104" s="56">
        <v>53</v>
      </c>
      <c r="P104" s="56">
        <f t="shared" si="17"/>
        <v>106</v>
      </c>
      <c r="Q104" s="56">
        <v>0.6</v>
      </c>
      <c r="R104" s="56">
        <f t="shared" si="25"/>
        <v>1.2</v>
      </c>
      <c r="S104" s="56">
        <v>2.2000000000000002</v>
      </c>
      <c r="T104" s="56">
        <f t="shared" si="27"/>
        <v>4.4000000000000004</v>
      </c>
      <c r="U104" s="59">
        <v>4.5999999999999996</v>
      </c>
      <c r="V104" s="56">
        <f t="shared" si="19"/>
        <v>9.1999999999999993</v>
      </c>
      <c r="W104" s="50">
        <v>1.5</v>
      </c>
      <c r="X104" s="50">
        <f t="shared" si="20"/>
        <v>3</v>
      </c>
      <c r="Y104" s="50">
        <v>3</v>
      </c>
      <c r="Z104" s="50">
        <f t="shared" si="28"/>
        <v>6</v>
      </c>
      <c r="AA104" s="50">
        <v>0.3</v>
      </c>
      <c r="AB104" s="50">
        <f t="shared" si="26"/>
        <v>0.6</v>
      </c>
      <c r="AC104" s="50">
        <v>3</v>
      </c>
      <c r="AD104" s="50">
        <f t="shared" si="22"/>
        <v>6</v>
      </c>
    </row>
    <row r="105" spans="1:30" ht="15.75" customHeight="1" x14ac:dyDescent="0.2">
      <c r="A105" s="56">
        <v>5</v>
      </c>
      <c r="B105" s="56" t="s">
        <v>179</v>
      </c>
      <c r="C105" s="56" t="s">
        <v>167</v>
      </c>
      <c r="D105" s="58" t="s">
        <v>74</v>
      </c>
      <c r="E105" s="58" t="s">
        <v>23</v>
      </c>
      <c r="F105" s="56" t="s">
        <v>62</v>
      </c>
      <c r="G105" s="56">
        <v>0.125</v>
      </c>
      <c r="H105" s="56" t="s">
        <v>53</v>
      </c>
      <c r="I105" s="69">
        <v>30</v>
      </c>
      <c r="J105" s="69">
        <v>2</v>
      </c>
      <c r="K105" s="69"/>
      <c r="L105" s="69">
        <f t="shared" si="30"/>
        <v>2</v>
      </c>
      <c r="M105" s="56">
        <f t="shared" si="29"/>
        <v>60</v>
      </c>
      <c r="N105" s="61"/>
      <c r="O105" s="56">
        <v>53</v>
      </c>
      <c r="P105" s="56">
        <f t="shared" si="17"/>
        <v>106</v>
      </c>
      <c r="Q105" s="56">
        <v>0.6</v>
      </c>
      <c r="R105" s="56">
        <f t="shared" si="25"/>
        <v>1.2</v>
      </c>
      <c r="S105" s="56">
        <v>2.2000000000000002</v>
      </c>
      <c r="T105" s="56">
        <f t="shared" si="27"/>
        <v>4.4000000000000004</v>
      </c>
      <c r="U105" s="59">
        <v>4.5999999999999996</v>
      </c>
      <c r="V105" s="56">
        <f t="shared" si="19"/>
        <v>9.1999999999999993</v>
      </c>
      <c r="W105" s="50">
        <v>1.5</v>
      </c>
      <c r="X105" s="50">
        <f t="shared" si="20"/>
        <v>3</v>
      </c>
      <c r="Y105" s="50">
        <v>3</v>
      </c>
      <c r="Z105" s="50">
        <f t="shared" si="28"/>
        <v>6</v>
      </c>
      <c r="AA105" s="50">
        <v>0.3</v>
      </c>
      <c r="AB105" s="50">
        <f t="shared" si="26"/>
        <v>0.6</v>
      </c>
      <c r="AC105" s="50">
        <v>3</v>
      </c>
      <c r="AD105" s="50">
        <f t="shared" si="22"/>
        <v>6</v>
      </c>
    </row>
    <row r="106" spans="1:30" ht="15.75" customHeight="1" x14ac:dyDescent="0.2">
      <c r="A106" s="56">
        <v>5</v>
      </c>
      <c r="B106" s="56" t="s">
        <v>179</v>
      </c>
      <c r="C106" s="56" t="s">
        <v>167</v>
      </c>
      <c r="D106" s="58" t="s">
        <v>74</v>
      </c>
      <c r="E106" s="58" t="s">
        <v>418</v>
      </c>
      <c r="F106" s="56" t="s">
        <v>294</v>
      </c>
      <c r="G106" s="56">
        <v>1</v>
      </c>
      <c r="H106" s="56" t="s">
        <v>273</v>
      </c>
      <c r="I106" s="69">
        <v>68</v>
      </c>
      <c r="J106" s="69">
        <v>1</v>
      </c>
      <c r="K106" s="69"/>
      <c r="L106" s="69">
        <f t="shared" si="30"/>
        <v>1</v>
      </c>
      <c r="M106" s="56">
        <f t="shared" si="29"/>
        <v>68</v>
      </c>
      <c r="N106" s="61" t="s">
        <v>295</v>
      </c>
      <c r="O106" s="56">
        <v>30</v>
      </c>
      <c r="P106" s="56">
        <f t="shared" si="17"/>
        <v>30</v>
      </c>
      <c r="Q106" s="56">
        <v>0.6</v>
      </c>
      <c r="R106" s="56">
        <f t="shared" si="25"/>
        <v>0.6</v>
      </c>
      <c r="S106" s="56">
        <v>6</v>
      </c>
      <c r="T106" s="56">
        <f t="shared" si="27"/>
        <v>6</v>
      </c>
      <c r="U106" s="59">
        <v>0.4</v>
      </c>
      <c r="V106" s="56">
        <f t="shared" si="19"/>
        <v>0.4</v>
      </c>
      <c r="W106" s="50">
        <v>1.9</v>
      </c>
      <c r="X106" s="50">
        <f t="shared" si="20"/>
        <v>1.9</v>
      </c>
      <c r="Y106" s="50">
        <v>10</v>
      </c>
      <c r="Z106" s="50">
        <f t="shared" si="28"/>
        <v>10</v>
      </c>
      <c r="AA106" s="50">
        <v>0.2</v>
      </c>
      <c r="AB106" s="50">
        <f t="shared" si="26"/>
        <v>0.2</v>
      </c>
      <c r="AC106" s="50">
        <v>1</v>
      </c>
      <c r="AD106" s="50">
        <f t="shared" si="22"/>
        <v>1</v>
      </c>
    </row>
    <row r="107" spans="1:30" ht="15.75" customHeight="1" x14ac:dyDescent="0.2">
      <c r="A107" s="56">
        <v>5</v>
      </c>
      <c r="B107" s="56" t="s">
        <v>179</v>
      </c>
      <c r="C107" s="56" t="s">
        <v>167</v>
      </c>
      <c r="D107" s="58" t="s">
        <v>97</v>
      </c>
      <c r="E107" s="58" t="s">
        <v>426</v>
      </c>
      <c r="F107" s="56" t="s">
        <v>111</v>
      </c>
      <c r="G107" s="56">
        <v>1</v>
      </c>
      <c r="H107" s="56" t="s">
        <v>103</v>
      </c>
      <c r="I107" s="56">
        <v>30</v>
      </c>
      <c r="J107" s="56">
        <v>1</v>
      </c>
      <c r="K107" s="56"/>
      <c r="L107" s="69">
        <f t="shared" si="30"/>
        <v>1</v>
      </c>
      <c r="M107" s="56">
        <f t="shared" si="29"/>
        <v>30</v>
      </c>
      <c r="N107" s="59" t="s">
        <v>298</v>
      </c>
      <c r="O107" s="56">
        <v>56</v>
      </c>
      <c r="P107" s="56">
        <f t="shared" si="17"/>
        <v>56</v>
      </c>
      <c r="Q107" s="56">
        <v>1.5</v>
      </c>
      <c r="R107" s="56">
        <f t="shared" si="25"/>
        <v>1.5</v>
      </c>
      <c r="S107" s="56">
        <v>2.2000000000000002</v>
      </c>
      <c r="T107" s="56">
        <f t="shared" si="27"/>
        <v>2.2000000000000002</v>
      </c>
      <c r="U107" s="59">
        <v>4.5999999999999996</v>
      </c>
      <c r="V107" s="56">
        <f t="shared" si="19"/>
        <v>4.5999999999999996</v>
      </c>
      <c r="W107" s="50">
        <v>1.2</v>
      </c>
      <c r="X107" s="50">
        <f t="shared" si="20"/>
        <v>1.2</v>
      </c>
      <c r="Y107" s="50">
        <v>25</v>
      </c>
      <c r="Z107" s="50">
        <f t="shared" si="28"/>
        <v>25</v>
      </c>
      <c r="AA107" s="50">
        <v>0.3</v>
      </c>
      <c r="AB107" s="50">
        <f t="shared" si="26"/>
        <v>0.3</v>
      </c>
      <c r="AC107" s="50">
        <v>1</v>
      </c>
      <c r="AD107" s="50">
        <f t="shared" si="22"/>
        <v>1</v>
      </c>
    </row>
    <row r="108" spans="1:30" ht="15.75" customHeight="1" x14ac:dyDescent="0.2">
      <c r="A108" s="56">
        <v>5</v>
      </c>
      <c r="B108" s="56" t="s">
        <v>179</v>
      </c>
      <c r="C108" s="56" t="s">
        <v>167</v>
      </c>
      <c r="D108" s="58" t="s">
        <v>97</v>
      </c>
      <c r="E108" s="58" t="s">
        <v>18</v>
      </c>
      <c r="F108" s="56" t="s">
        <v>299</v>
      </c>
      <c r="G108" s="56">
        <v>1</v>
      </c>
      <c r="H108" s="56" t="s">
        <v>230</v>
      </c>
      <c r="I108" s="56">
        <v>81</v>
      </c>
      <c r="J108" s="56">
        <v>0.2</v>
      </c>
      <c r="K108" s="56"/>
      <c r="L108" s="69">
        <f t="shared" si="30"/>
        <v>0.2</v>
      </c>
      <c r="M108" s="56">
        <f t="shared" si="29"/>
        <v>16.2</v>
      </c>
      <c r="N108" s="59" t="s">
        <v>300</v>
      </c>
      <c r="O108" s="56">
        <v>51</v>
      </c>
      <c r="P108" s="56">
        <f t="shared" si="17"/>
        <v>10.199999999999999</v>
      </c>
      <c r="Q108" s="56">
        <v>0.6</v>
      </c>
      <c r="R108" s="56">
        <f t="shared" si="25"/>
        <v>0.11999999999999998</v>
      </c>
      <c r="S108" s="56">
        <v>11.7</v>
      </c>
      <c r="T108" s="56">
        <f t="shared" si="27"/>
        <v>2.34</v>
      </c>
      <c r="U108" s="59">
        <v>0.2</v>
      </c>
      <c r="V108" s="56">
        <f t="shared" si="19"/>
        <v>0.04</v>
      </c>
      <c r="W108" s="50">
        <v>1.6</v>
      </c>
      <c r="X108" s="50">
        <f t="shared" si="20"/>
        <v>0.32</v>
      </c>
      <c r="Y108" s="50">
        <v>10</v>
      </c>
      <c r="Z108" s="50">
        <f t="shared" si="28"/>
        <v>2</v>
      </c>
      <c r="AA108" s="50">
        <v>0.8</v>
      </c>
      <c r="AB108" s="50">
        <f t="shared" si="26"/>
        <v>0.16</v>
      </c>
      <c r="AC108" s="50">
        <v>1</v>
      </c>
      <c r="AD108" s="50">
        <f t="shared" si="22"/>
        <v>0.19999999999999998</v>
      </c>
    </row>
    <row r="109" spans="1:30" ht="15.75" customHeight="1" x14ac:dyDescent="0.2">
      <c r="A109" s="56">
        <v>5</v>
      </c>
      <c r="B109" s="56" t="s">
        <v>179</v>
      </c>
      <c r="C109" s="56" t="s">
        <v>167</v>
      </c>
      <c r="D109" s="58" t="s">
        <v>17</v>
      </c>
      <c r="E109" s="60" t="s">
        <v>410</v>
      </c>
      <c r="F109" s="56" t="s">
        <v>237</v>
      </c>
      <c r="G109" s="56">
        <v>1</v>
      </c>
      <c r="H109" s="56" t="s">
        <v>35</v>
      </c>
      <c r="I109" s="56">
        <v>52</v>
      </c>
      <c r="J109" s="56">
        <v>1</v>
      </c>
      <c r="K109" s="56"/>
      <c r="L109" s="69">
        <f t="shared" si="30"/>
        <v>1</v>
      </c>
      <c r="M109" s="56">
        <f t="shared" si="29"/>
        <v>52</v>
      </c>
      <c r="N109" s="61" t="s">
        <v>411</v>
      </c>
      <c r="O109" s="56">
        <v>102</v>
      </c>
      <c r="P109" s="56">
        <f t="shared" si="17"/>
        <v>102</v>
      </c>
      <c r="Q109" s="56">
        <v>2.1</v>
      </c>
      <c r="R109" s="56">
        <f t="shared" si="25"/>
        <v>2.1</v>
      </c>
      <c r="S109" s="56">
        <v>22.5</v>
      </c>
      <c r="T109" s="56">
        <f t="shared" si="27"/>
        <v>22.5</v>
      </c>
      <c r="U109" s="59">
        <v>0.3</v>
      </c>
      <c r="V109" s="56">
        <f t="shared" si="19"/>
        <v>0.3</v>
      </c>
      <c r="W109" s="50">
        <v>0.3</v>
      </c>
      <c r="X109" s="50">
        <f t="shared" si="20"/>
        <v>0.3</v>
      </c>
      <c r="Y109" s="50">
        <v>2</v>
      </c>
      <c r="Z109" s="50">
        <f t="shared" si="28"/>
        <v>2</v>
      </c>
      <c r="AA109" s="50">
        <v>0.4</v>
      </c>
      <c r="AB109" s="50">
        <f t="shared" si="26"/>
        <v>0.4</v>
      </c>
      <c r="AC109" s="50">
        <v>1</v>
      </c>
      <c r="AD109" s="50">
        <f t="shared" si="22"/>
        <v>1</v>
      </c>
    </row>
    <row r="110" spans="1:30" ht="15.75" customHeight="1" x14ac:dyDescent="0.2">
      <c r="A110" s="56">
        <v>5</v>
      </c>
      <c r="B110" s="56" t="s">
        <v>179</v>
      </c>
      <c r="C110" s="56" t="s">
        <v>167</v>
      </c>
      <c r="D110" s="58" t="s">
        <v>44</v>
      </c>
      <c r="E110" s="60" t="s">
        <v>410</v>
      </c>
      <c r="F110" s="56" t="s">
        <v>47</v>
      </c>
      <c r="G110" s="56">
        <v>6</v>
      </c>
      <c r="H110" s="56" t="s">
        <v>254</v>
      </c>
      <c r="I110" s="56">
        <v>80</v>
      </c>
      <c r="J110" s="56">
        <v>1</v>
      </c>
      <c r="K110" s="56"/>
      <c r="L110" s="69">
        <f t="shared" si="30"/>
        <v>1</v>
      </c>
      <c r="M110" s="56">
        <f t="shared" si="29"/>
        <v>80</v>
      </c>
      <c r="N110" s="59" t="s">
        <v>413</v>
      </c>
      <c r="O110" s="56">
        <v>101</v>
      </c>
      <c r="P110" s="56">
        <f t="shared" si="17"/>
        <v>101</v>
      </c>
      <c r="Q110" s="56">
        <v>1.9</v>
      </c>
      <c r="R110" s="56">
        <f t="shared" si="25"/>
        <v>1.9</v>
      </c>
      <c r="S110" s="56">
        <v>22.9</v>
      </c>
      <c r="T110" s="56">
        <f t="shared" si="27"/>
        <v>22.9</v>
      </c>
      <c r="U110" s="59">
        <v>0.2</v>
      </c>
      <c r="V110" s="56">
        <f t="shared" si="19"/>
        <v>0.2</v>
      </c>
      <c r="W110" s="50">
        <v>0.2</v>
      </c>
      <c r="X110" s="50">
        <f t="shared" si="20"/>
        <v>0.2</v>
      </c>
      <c r="Y110" s="50">
        <v>2</v>
      </c>
      <c r="Z110" s="50">
        <f t="shared" si="28"/>
        <v>2</v>
      </c>
      <c r="AA110" s="50">
        <v>0.2</v>
      </c>
      <c r="AB110" s="50">
        <f t="shared" si="26"/>
        <v>0.2</v>
      </c>
      <c r="AC110" s="50">
        <v>0</v>
      </c>
      <c r="AD110" s="50">
        <f t="shared" si="22"/>
        <v>0</v>
      </c>
    </row>
    <row r="111" spans="1:30" ht="15.75" customHeight="1" x14ac:dyDescent="0.2">
      <c r="A111" s="56">
        <v>5</v>
      </c>
      <c r="B111" s="56" t="s">
        <v>179</v>
      </c>
      <c r="C111" s="56" t="s">
        <v>167</v>
      </c>
      <c r="D111" s="58" t="s">
        <v>44</v>
      </c>
      <c r="E111" s="58" t="s">
        <v>408</v>
      </c>
      <c r="F111" s="56" t="s">
        <v>84</v>
      </c>
      <c r="G111" s="56">
        <v>1</v>
      </c>
      <c r="H111" s="56" t="s">
        <v>56</v>
      </c>
      <c r="I111" s="56">
        <v>157</v>
      </c>
      <c r="J111" s="56">
        <v>7.0000000000000007E-2</v>
      </c>
      <c r="K111" s="56"/>
      <c r="L111" s="69">
        <f t="shared" si="30"/>
        <v>7.0000000000000007E-2</v>
      </c>
      <c r="M111" s="56">
        <f t="shared" si="29"/>
        <v>10.99</v>
      </c>
      <c r="N111" s="59" t="s">
        <v>282</v>
      </c>
      <c r="O111" s="56">
        <v>190</v>
      </c>
      <c r="P111" s="56">
        <f t="shared" si="17"/>
        <v>13.299999999999999</v>
      </c>
      <c r="Q111" s="56">
        <v>13</v>
      </c>
      <c r="R111" s="56">
        <f t="shared" si="25"/>
        <v>0.91</v>
      </c>
      <c r="S111" s="56">
        <v>33.1</v>
      </c>
      <c r="T111" s="56">
        <f t="shared" si="27"/>
        <v>2.3170000000000002</v>
      </c>
      <c r="U111" s="59">
        <v>0.6</v>
      </c>
      <c r="V111" s="56">
        <f t="shared" si="19"/>
        <v>4.2000000000000003E-2</v>
      </c>
      <c r="W111" s="50">
        <v>13</v>
      </c>
      <c r="X111" s="50">
        <f t="shared" si="20"/>
        <v>0.91</v>
      </c>
      <c r="Y111" s="50">
        <v>22</v>
      </c>
      <c r="Z111" s="50">
        <f t="shared" si="28"/>
        <v>1.54</v>
      </c>
      <c r="AA111" s="50">
        <v>2</v>
      </c>
      <c r="AB111" s="50">
        <f t="shared" si="26"/>
        <v>0.14000000000000001</v>
      </c>
      <c r="AC111" s="50">
        <v>3</v>
      </c>
      <c r="AD111" s="50">
        <f t="shared" si="22"/>
        <v>0.21</v>
      </c>
    </row>
    <row r="112" spans="1:30" ht="15.75" customHeight="1" x14ac:dyDescent="0.2">
      <c r="A112" s="56">
        <v>5</v>
      </c>
      <c r="B112" s="56" t="s">
        <v>179</v>
      </c>
      <c r="C112" s="56" t="s">
        <v>167</v>
      </c>
      <c r="D112" s="58" t="s">
        <v>44</v>
      </c>
      <c r="E112" s="58" t="s">
        <v>424</v>
      </c>
      <c r="F112" s="56" t="s">
        <v>276</v>
      </c>
      <c r="G112" s="56">
        <v>1</v>
      </c>
      <c r="H112" s="56" t="s">
        <v>251</v>
      </c>
      <c r="I112" s="56">
        <v>150</v>
      </c>
      <c r="J112" s="56">
        <v>0.5</v>
      </c>
      <c r="K112" s="56"/>
      <c r="L112" s="69">
        <f t="shared" si="30"/>
        <v>0.5</v>
      </c>
      <c r="M112" s="56">
        <f t="shared" si="29"/>
        <v>75</v>
      </c>
      <c r="N112" s="59"/>
      <c r="O112" s="56">
        <v>7</v>
      </c>
      <c r="P112" s="56">
        <f t="shared" si="17"/>
        <v>3.5</v>
      </c>
      <c r="Q112" s="56">
        <v>0.3</v>
      </c>
      <c r="R112" s="56">
        <f t="shared" si="25"/>
        <v>0.15</v>
      </c>
      <c r="S112" s="56">
        <v>1.2</v>
      </c>
      <c r="T112" s="56">
        <f t="shared" si="27"/>
        <v>0.6</v>
      </c>
      <c r="U112" s="59">
        <v>0</v>
      </c>
      <c r="V112" s="56">
        <f t="shared" si="19"/>
        <v>0</v>
      </c>
      <c r="W112" s="50">
        <v>0</v>
      </c>
      <c r="X112" s="50">
        <f t="shared" si="20"/>
        <v>0</v>
      </c>
      <c r="Y112" s="50">
        <v>4</v>
      </c>
      <c r="Z112" s="50">
        <f t="shared" si="28"/>
        <v>2</v>
      </c>
      <c r="AA112" s="50">
        <v>0.1</v>
      </c>
      <c r="AB112" s="50">
        <f t="shared" si="26"/>
        <v>0.05</v>
      </c>
      <c r="AC112" s="50">
        <v>1</v>
      </c>
      <c r="AD112" s="50">
        <f t="shared" si="22"/>
        <v>0.5</v>
      </c>
    </row>
    <row r="113" spans="1:30" ht="15.75" customHeight="1" x14ac:dyDescent="0.2">
      <c r="A113" s="56">
        <v>5</v>
      </c>
      <c r="B113" s="56" t="s">
        <v>179</v>
      </c>
      <c r="C113" s="56" t="s">
        <v>167</v>
      </c>
      <c r="D113" s="58" t="s">
        <v>44</v>
      </c>
      <c r="E113" s="58" t="s">
        <v>36</v>
      </c>
      <c r="F113" s="56" t="s">
        <v>258</v>
      </c>
      <c r="G113" s="56">
        <v>1</v>
      </c>
      <c r="H113" s="56" t="s">
        <v>29</v>
      </c>
      <c r="I113" s="56">
        <v>100</v>
      </c>
      <c r="J113" s="56">
        <v>1.2</v>
      </c>
      <c r="K113" s="56"/>
      <c r="L113" s="69">
        <f t="shared" si="30"/>
        <v>1.2</v>
      </c>
      <c r="M113" s="56">
        <f t="shared" si="29"/>
        <v>120</v>
      </c>
      <c r="N113" s="59"/>
      <c r="O113" s="56"/>
      <c r="P113" s="56">
        <f t="shared" si="17"/>
        <v>0</v>
      </c>
      <c r="Q113" s="56"/>
      <c r="R113" s="56">
        <f t="shared" si="25"/>
        <v>0</v>
      </c>
      <c r="S113" s="56"/>
      <c r="T113" s="56">
        <f t="shared" si="27"/>
        <v>0</v>
      </c>
      <c r="U113" s="59"/>
      <c r="V113" s="56">
        <f t="shared" si="19"/>
        <v>0</v>
      </c>
      <c r="W113" s="50"/>
      <c r="X113" s="50">
        <f t="shared" si="20"/>
        <v>0</v>
      </c>
      <c r="Y113" s="50"/>
      <c r="Z113" s="50">
        <f t="shared" si="28"/>
        <v>0</v>
      </c>
      <c r="AA113" s="50"/>
      <c r="AB113" s="50">
        <f t="shared" si="26"/>
        <v>0</v>
      </c>
      <c r="AC113" s="50"/>
      <c r="AD113" s="50">
        <f t="shared" si="22"/>
        <v>0</v>
      </c>
    </row>
    <row r="114" spans="1:30" ht="15.75" customHeight="1" x14ac:dyDescent="0.2">
      <c r="A114" s="56">
        <v>5</v>
      </c>
      <c r="B114" s="56" t="s">
        <v>179</v>
      </c>
      <c r="C114" s="56" t="s">
        <v>167</v>
      </c>
      <c r="D114" s="58" t="s">
        <v>17</v>
      </c>
      <c r="E114" s="58" t="s">
        <v>418</v>
      </c>
      <c r="F114" s="56" t="s">
        <v>234</v>
      </c>
      <c r="G114" s="56">
        <v>4</v>
      </c>
      <c r="H114" s="56" t="s">
        <v>235</v>
      </c>
      <c r="I114" s="56">
        <v>32</v>
      </c>
      <c r="J114" s="56">
        <v>0.5</v>
      </c>
      <c r="K114" s="56"/>
      <c r="L114" s="69">
        <f t="shared" si="30"/>
        <v>0.5</v>
      </c>
      <c r="M114" s="56">
        <f t="shared" si="29"/>
        <v>16</v>
      </c>
      <c r="N114" s="59"/>
      <c r="O114" s="56">
        <v>13</v>
      </c>
      <c r="P114" s="56">
        <f t="shared" si="17"/>
        <v>6.5</v>
      </c>
      <c r="Q114" s="56">
        <v>0.4</v>
      </c>
      <c r="R114" s="56">
        <f t="shared" ref="R114:R145" si="31">(Q114*M114)/I114</f>
        <v>0.2</v>
      </c>
      <c r="S114" s="56">
        <v>2.8</v>
      </c>
      <c r="T114" s="56">
        <f t="shared" si="27"/>
        <v>1.4</v>
      </c>
      <c r="U114" s="59">
        <v>0.1</v>
      </c>
      <c r="V114" s="56">
        <f t="shared" si="19"/>
        <v>0.05</v>
      </c>
      <c r="W114" s="50">
        <v>0.6</v>
      </c>
      <c r="X114" s="50">
        <f t="shared" si="20"/>
        <v>0.3</v>
      </c>
      <c r="Y114" s="50">
        <v>6</v>
      </c>
      <c r="Z114" s="50">
        <f t="shared" si="28"/>
        <v>3</v>
      </c>
      <c r="AA114" s="50">
        <v>0.1</v>
      </c>
      <c r="AB114" s="50">
        <f t="shared" si="26"/>
        <v>0.05</v>
      </c>
      <c r="AC114" s="50">
        <v>1</v>
      </c>
      <c r="AD114" s="50">
        <f t="shared" si="22"/>
        <v>0.5</v>
      </c>
    </row>
    <row r="115" spans="1:30" ht="15.75" customHeight="1" x14ac:dyDescent="0.2">
      <c r="A115" s="56">
        <v>5</v>
      </c>
      <c r="B115" s="56" t="s">
        <v>179</v>
      </c>
      <c r="C115" s="56" t="s">
        <v>167</v>
      </c>
      <c r="D115" s="58" t="s">
        <v>17</v>
      </c>
      <c r="E115" s="58" t="s">
        <v>424</v>
      </c>
      <c r="F115" s="56" t="s">
        <v>274</v>
      </c>
      <c r="G115" s="56">
        <v>1</v>
      </c>
      <c r="H115" s="56" t="s">
        <v>239</v>
      </c>
      <c r="I115" s="56">
        <v>300</v>
      </c>
      <c r="J115" s="56">
        <v>1</v>
      </c>
      <c r="K115" s="56"/>
      <c r="L115" s="69">
        <f t="shared" si="30"/>
        <v>1</v>
      </c>
      <c r="M115" s="56">
        <f t="shared" si="29"/>
        <v>300</v>
      </c>
      <c r="N115" s="59" t="s">
        <v>368</v>
      </c>
      <c r="O115" s="56">
        <v>52</v>
      </c>
      <c r="P115" s="56">
        <f t="shared" si="17"/>
        <v>52</v>
      </c>
      <c r="Q115" s="56">
        <v>0.8</v>
      </c>
      <c r="R115" s="56">
        <f t="shared" si="31"/>
        <v>0.8</v>
      </c>
      <c r="S115" s="56">
        <v>2.2999999999999998</v>
      </c>
      <c r="T115" s="56">
        <f t="shared" si="27"/>
        <v>2.2999999999999998</v>
      </c>
      <c r="U115" s="59">
        <v>4.4000000000000004</v>
      </c>
      <c r="V115" s="56">
        <f t="shared" si="19"/>
        <v>4.4000000000000004</v>
      </c>
      <c r="W115" s="50">
        <v>1.2</v>
      </c>
      <c r="X115" s="50">
        <f t="shared" si="20"/>
        <v>1.2</v>
      </c>
      <c r="Y115" s="50">
        <v>6</v>
      </c>
      <c r="Z115" s="50">
        <f t="shared" si="28"/>
        <v>6</v>
      </c>
      <c r="AA115" s="50">
        <v>0.5</v>
      </c>
      <c r="AB115" s="50">
        <f t="shared" si="26"/>
        <v>0.5</v>
      </c>
      <c r="AC115" s="50">
        <v>1</v>
      </c>
      <c r="AD115" s="50">
        <f t="shared" si="22"/>
        <v>1</v>
      </c>
    </row>
    <row r="116" spans="1:30" ht="15.75" customHeight="1" x14ac:dyDescent="0.2">
      <c r="A116" s="56">
        <v>5</v>
      </c>
      <c r="B116" s="56" t="s">
        <v>179</v>
      </c>
      <c r="C116" s="56" t="s">
        <v>167</v>
      </c>
      <c r="D116" s="58" t="s">
        <v>264</v>
      </c>
      <c r="E116" s="58" t="s">
        <v>424</v>
      </c>
      <c r="F116" s="56" t="s">
        <v>306</v>
      </c>
      <c r="G116" s="56">
        <v>1</v>
      </c>
      <c r="H116" s="56" t="s">
        <v>307</v>
      </c>
      <c r="I116" s="56">
        <v>25</v>
      </c>
      <c r="J116" s="56">
        <v>1</v>
      </c>
      <c r="K116" s="56"/>
      <c r="L116" s="69">
        <f t="shared" si="30"/>
        <v>1</v>
      </c>
      <c r="M116" s="56">
        <f t="shared" si="29"/>
        <v>25</v>
      </c>
      <c r="N116" s="59" t="s">
        <v>374</v>
      </c>
      <c r="O116" s="56">
        <v>128</v>
      </c>
      <c r="P116" s="56">
        <f t="shared" si="17"/>
        <v>128</v>
      </c>
      <c r="Q116" s="56">
        <v>1.3</v>
      </c>
      <c r="R116" s="56">
        <f t="shared" si="31"/>
        <v>1.3</v>
      </c>
      <c r="S116" s="56">
        <v>23.5</v>
      </c>
      <c r="T116" s="56">
        <f t="shared" si="27"/>
        <v>23.5</v>
      </c>
      <c r="U116" s="59">
        <v>3.2</v>
      </c>
      <c r="V116" s="56">
        <f t="shared" si="19"/>
        <v>3.2</v>
      </c>
      <c r="W116" s="50">
        <v>4.8</v>
      </c>
      <c r="X116" s="50">
        <f t="shared" si="20"/>
        <v>4.8</v>
      </c>
      <c r="Y116" s="50">
        <v>11</v>
      </c>
      <c r="Z116" s="50">
        <f t="shared" si="28"/>
        <v>11</v>
      </c>
      <c r="AA116" s="50">
        <v>1.2</v>
      </c>
      <c r="AB116" s="50">
        <f t="shared" si="26"/>
        <v>1.2</v>
      </c>
      <c r="AC116" s="50">
        <v>4</v>
      </c>
      <c r="AD116" s="50">
        <f t="shared" si="22"/>
        <v>4</v>
      </c>
    </row>
    <row r="117" spans="1:30" ht="15.75" customHeight="1" x14ac:dyDescent="0.2">
      <c r="A117" s="56">
        <v>5</v>
      </c>
      <c r="B117" s="56" t="s">
        <v>179</v>
      </c>
      <c r="C117" s="56" t="s">
        <v>167</v>
      </c>
      <c r="D117" s="58" t="s">
        <v>44</v>
      </c>
      <c r="E117" s="58" t="s">
        <v>428</v>
      </c>
      <c r="F117" s="56" t="s">
        <v>284</v>
      </c>
      <c r="G117" s="56">
        <v>1</v>
      </c>
      <c r="H117" s="56" t="s">
        <v>285</v>
      </c>
      <c r="I117" s="56">
        <v>100</v>
      </c>
      <c r="J117" s="56">
        <v>0.01</v>
      </c>
      <c r="K117" s="56"/>
      <c r="L117" s="69">
        <f t="shared" si="30"/>
        <v>0.01</v>
      </c>
      <c r="M117" s="56">
        <f t="shared" si="29"/>
        <v>1</v>
      </c>
      <c r="N117" s="59" t="s">
        <v>282</v>
      </c>
      <c r="O117" s="56">
        <v>2</v>
      </c>
      <c r="P117" s="56">
        <f t="shared" si="17"/>
        <v>0.02</v>
      </c>
      <c r="Q117" s="56">
        <v>0.24</v>
      </c>
      <c r="R117" s="56">
        <f t="shared" si="31"/>
        <v>2.3999999999999998E-3</v>
      </c>
      <c r="S117" s="56">
        <v>0.26</v>
      </c>
      <c r="T117" s="56">
        <f t="shared" si="27"/>
        <v>2.5999999999999999E-3</v>
      </c>
      <c r="U117" s="59">
        <v>0.06</v>
      </c>
      <c r="V117" s="56">
        <f t="shared" si="19"/>
        <v>5.9999999999999995E-4</v>
      </c>
      <c r="W117" s="50">
        <v>0.23</v>
      </c>
      <c r="X117" s="50">
        <f t="shared" si="20"/>
        <v>2.3E-3</v>
      </c>
      <c r="Y117" s="50">
        <v>9.8000000000000007</v>
      </c>
      <c r="Z117" s="50">
        <f t="shared" si="28"/>
        <v>9.8000000000000004E-2</v>
      </c>
      <c r="AA117" s="50">
        <v>0.2</v>
      </c>
      <c r="AB117" s="50">
        <f t="shared" si="26"/>
        <v>2E-3</v>
      </c>
      <c r="AC117" s="50">
        <v>2.8</v>
      </c>
      <c r="AD117" s="50">
        <f t="shared" si="22"/>
        <v>2.7999999999999997E-2</v>
      </c>
    </row>
    <row r="118" spans="1:30" ht="15.75" customHeight="1" x14ac:dyDescent="0.2">
      <c r="A118" s="56">
        <v>5</v>
      </c>
      <c r="B118" s="56" t="s">
        <v>179</v>
      </c>
      <c r="C118" s="56" t="s">
        <v>167</v>
      </c>
      <c r="D118" s="58" t="s">
        <v>74</v>
      </c>
      <c r="E118" s="58" t="s">
        <v>428</v>
      </c>
      <c r="F118" s="56" t="s">
        <v>284</v>
      </c>
      <c r="G118" s="56">
        <v>1</v>
      </c>
      <c r="H118" s="56" t="s">
        <v>285</v>
      </c>
      <c r="I118" s="56">
        <v>100</v>
      </c>
      <c r="J118" s="56">
        <v>0.01</v>
      </c>
      <c r="K118" s="69"/>
      <c r="L118" s="69">
        <f t="shared" si="30"/>
        <v>0.01</v>
      </c>
      <c r="M118" s="56">
        <f t="shared" si="29"/>
        <v>1</v>
      </c>
      <c r="N118" s="61" t="s">
        <v>282</v>
      </c>
      <c r="O118" s="56">
        <v>2</v>
      </c>
      <c r="P118" s="56">
        <f t="shared" si="17"/>
        <v>0.02</v>
      </c>
      <c r="Q118" s="56">
        <v>0.24</v>
      </c>
      <c r="R118" s="56">
        <f t="shared" si="31"/>
        <v>2.3999999999999998E-3</v>
      </c>
      <c r="S118" s="56">
        <v>0.26</v>
      </c>
      <c r="T118" s="56">
        <f t="shared" si="27"/>
        <v>2.5999999999999999E-3</v>
      </c>
      <c r="U118" s="59">
        <v>0.06</v>
      </c>
      <c r="V118" s="56">
        <f t="shared" si="19"/>
        <v>5.9999999999999995E-4</v>
      </c>
      <c r="W118" s="50">
        <v>0.23</v>
      </c>
      <c r="X118" s="50">
        <f t="shared" si="20"/>
        <v>2.3E-3</v>
      </c>
      <c r="Y118" s="50">
        <v>9.8000000000000007</v>
      </c>
      <c r="Z118" s="50">
        <f t="shared" si="28"/>
        <v>9.8000000000000004E-2</v>
      </c>
      <c r="AA118" s="50">
        <v>0.2</v>
      </c>
      <c r="AB118" s="50">
        <f t="shared" si="26"/>
        <v>2E-3</v>
      </c>
      <c r="AC118" s="50">
        <v>2.8</v>
      </c>
      <c r="AD118" s="50">
        <f t="shared" si="22"/>
        <v>2.7999999999999997E-2</v>
      </c>
    </row>
    <row r="119" spans="1:30" ht="15.75" customHeight="1" x14ac:dyDescent="0.2">
      <c r="A119" s="56">
        <v>5</v>
      </c>
      <c r="B119" s="56" t="s">
        <v>179</v>
      </c>
      <c r="C119" s="56" t="s">
        <v>167</v>
      </c>
      <c r="D119" s="58" t="s">
        <v>44</v>
      </c>
      <c r="E119" s="58" t="s">
        <v>418</v>
      </c>
      <c r="F119" s="56" t="s">
        <v>60</v>
      </c>
      <c r="G119" s="56">
        <v>1</v>
      </c>
      <c r="H119" s="56" t="s">
        <v>222</v>
      </c>
      <c r="I119" s="56">
        <v>100</v>
      </c>
      <c r="J119" s="56">
        <v>0.5</v>
      </c>
      <c r="K119" s="56"/>
      <c r="L119" s="69">
        <f t="shared" si="30"/>
        <v>0.5</v>
      </c>
      <c r="M119" s="56">
        <f t="shared" si="29"/>
        <v>50</v>
      </c>
      <c r="N119" s="59" t="s">
        <v>59</v>
      </c>
      <c r="O119" s="56"/>
      <c r="P119" s="56">
        <f t="shared" si="17"/>
        <v>0</v>
      </c>
      <c r="Q119" s="56"/>
      <c r="R119" s="56">
        <f t="shared" si="31"/>
        <v>0</v>
      </c>
      <c r="S119" s="56"/>
      <c r="T119" s="56">
        <f t="shared" si="27"/>
        <v>0</v>
      </c>
      <c r="U119" s="59"/>
      <c r="V119" s="56">
        <f t="shared" si="19"/>
        <v>0</v>
      </c>
      <c r="W119" s="50"/>
      <c r="X119" s="50">
        <f t="shared" si="20"/>
        <v>0</v>
      </c>
      <c r="Y119" s="50"/>
      <c r="Z119" s="50">
        <f t="shared" si="28"/>
        <v>0</v>
      </c>
      <c r="AA119" s="50"/>
      <c r="AB119" s="50">
        <f t="shared" si="26"/>
        <v>0</v>
      </c>
      <c r="AC119" s="50"/>
      <c r="AD119" s="50">
        <f t="shared" si="22"/>
        <v>0</v>
      </c>
    </row>
    <row r="120" spans="1:30" ht="15.75" customHeight="1" x14ac:dyDescent="0.2">
      <c r="A120" s="56">
        <v>5</v>
      </c>
      <c r="B120" s="56" t="s">
        <v>179</v>
      </c>
      <c r="C120" s="56" t="s">
        <v>167</v>
      </c>
      <c r="D120" s="58" t="s">
        <v>74</v>
      </c>
      <c r="E120" s="58" t="s">
        <v>418</v>
      </c>
      <c r="F120" s="56" t="s">
        <v>60</v>
      </c>
      <c r="G120" s="56">
        <v>1</v>
      </c>
      <c r="H120" s="56" t="s">
        <v>222</v>
      </c>
      <c r="I120" s="56">
        <v>100</v>
      </c>
      <c r="J120" s="56">
        <v>0.5</v>
      </c>
      <c r="K120" s="56"/>
      <c r="L120" s="69">
        <f t="shared" si="30"/>
        <v>0.5</v>
      </c>
      <c r="M120" s="56">
        <f t="shared" si="29"/>
        <v>50</v>
      </c>
      <c r="N120" s="61" t="s">
        <v>59</v>
      </c>
      <c r="O120" s="56"/>
      <c r="P120" s="56">
        <f t="shared" si="17"/>
        <v>0</v>
      </c>
      <c r="Q120" s="56"/>
      <c r="R120" s="56">
        <f t="shared" si="31"/>
        <v>0</v>
      </c>
      <c r="S120" s="56"/>
      <c r="T120" s="56">
        <f t="shared" si="27"/>
        <v>0</v>
      </c>
      <c r="U120" s="59"/>
      <c r="V120" s="56">
        <f t="shared" si="19"/>
        <v>0</v>
      </c>
      <c r="W120" s="50"/>
      <c r="X120" s="50">
        <f t="shared" si="20"/>
        <v>0</v>
      </c>
      <c r="Y120" s="50"/>
      <c r="Z120" s="50">
        <f t="shared" si="28"/>
        <v>0</v>
      </c>
      <c r="AA120" s="50"/>
      <c r="AB120" s="50">
        <f t="shared" si="26"/>
        <v>0</v>
      </c>
      <c r="AC120" s="50"/>
      <c r="AD120" s="50">
        <f t="shared" si="22"/>
        <v>0</v>
      </c>
    </row>
    <row r="121" spans="1:30" ht="15.75" customHeight="1" x14ac:dyDescent="0.2">
      <c r="A121" s="56">
        <v>5</v>
      </c>
      <c r="B121" s="56" t="s">
        <v>179</v>
      </c>
      <c r="C121" s="56" t="s">
        <v>167</v>
      </c>
      <c r="D121" s="58" t="s">
        <v>44</v>
      </c>
      <c r="E121" s="58" t="s">
        <v>18</v>
      </c>
      <c r="F121" s="56" t="s">
        <v>120</v>
      </c>
      <c r="G121" s="56">
        <v>9</v>
      </c>
      <c r="H121" s="56" t="s">
        <v>20</v>
      </c>
      <c r="I121" s="56">
        <v>161</v>
      </c>
      <c r="J121" s="56">
        <v>0.5</v>
      </c>
      <c r="K121" s="56"/>
      <c r="L121" s="69">
        <f t="shared" si="30"/>
        <v>0.5</v>
      </c>
      <c r="M121" s="56">
        <f t="shared" si="29"/>
        <v>80.5</v>
      </c>
      <c r="N121" s="59"/>
      <c r="O121" s="56">
        <v>55</v>
      </c>
      <c r="P121" s="56">
        <f t="shared" si="17"/>
        <v>27.5</v>
      </c>
      <c r="Q121" s="56">
        <v>1.3</v>
      </c>
      <c r="R121" s="56">
        <f t="shared" si="31"/>
        <v>0.65</v>
      </c>
      <c r="S121" s="56">
        <v>11.1</v>
      </c>
      <c r="T121" s="56">
        <f t="shared" si="27"/>
        <v>5.55</v>
      </c>
      <c r="U121" s="59">
        <v>0.6</v>
      </c>
      <c r="V121" s="56">
        <f t="shared" si="19"/>
        <v>0.3</v>
      </c>
      <c r="W121" s="50">
        <v>3.7</v>
      </c>
      <c r="X121" s="50">
        <f t="shared" si="20"/>
        <v>1.85</v>
      </c>
      <c r="Y121" s="50">
        <v>45</v>
      </c>
      <c r="Z121" s="50">
        <f t="shared" si="28"/>
        <v>22.5</v>
      </c>
      <c r="AA121" s="50">
        <v>1.3</v>
      </c>
      <c r="AB121" s="50">
        <f t="shared" si="26"/>
        <v>0.65</v>
      </c>
      <c r="AC121" s="50">
        <v>2</v>
      </c>
      <c r="AD121" s="50">
        <f t="shared" si="22"/>
        <v>1</v>
      </c>
    </row>
    <row r="122" spans="1:30" ht="15.75" customHeight="1" x14ac:dyDescent="0.2">
      <c r="A122" s="56">
        <v>5</v>
      </c>
      <c r="B122" s="56" t="s">
        <v>179</v>
      </c>
      <c r="C122" s="56" t="s">
        <v>167</v>
      </c>
      <c r="D122" s="58" t="s">
        <v>44</v>
      </c>
      <c r="E122" s="58" t="s">
        <v>418</v>
      </c>
      <c r="F122" s="56" t="s">
        <v>280</v>
      </c>
      <c r="G122" s="56">
        <v>1</v>
      </c>
      <c r="H122" s="56" t="s">
        <v>281</v>
      </c>
      <c r="I122" s="56">
        <v>81</v>
      </c>
      <c r="J122" s="56">
        <v>0.13</v>
      </c>
      <c r="K122" s="56"/>
      <c r="L122" s="69">
        <f t="shared" si="30"/>
        <v>0.13</v>
      </c>
      <c r="M122" s="56">
        <f t="shared" si="29"/>
        <v>10.530000000000001</v>
      </c>
      <c r="N122" s="59" t="s">
        <v>282</v>
      </c>
      <c r="O122" s="56">
        <v>1.5</v>
      </c>
      <c r="P122" s="56">
        <f t="shared" si="17"/>
        <v>0.19500000000000003</v>
      </c>
      <c r="Q122" s="56">
        <v>0.19</v>
      </c>
      <c r="R122" s="56">
        <f t="shared" si="31"/>
        <v>2.4700000000000003E-2</v>
      </c>
      <c r="S122" s="56">
        <v>0.79</v>
      </c>
      <c r="T122" s="56">
        <f t="shared" si="27"/>
        <v>0.10270000000000001</v>
      </c>
      <c r="U122" s="59">
        <v>0.03</v>
      </c>
      <c r="V122" s="56">
        <f t="shared" si="19"/>
        <v>3.9000000000000003E-3</v>
      </c>
      <c r="W122" s="50">
        <v>0.32</v>
      </c>
      <c r="X122" s="50">
        <f t="shared" si="20"/>
        <v>4.1600000000000005E-2</v>
      </c>
      <c r="Y122" s="50">
        <v>4.5999999999999996</v>
      </c>
      <c r="Z122" s="50">
        <f t="shared" si="28"/>
        <v>0.59799999999999998</v>
      </c>
      <c r="AA122" s="50">
        <v>0.13</v>
      </c>
      <c r="AB122" s="50">
        <f t="shared" si="26"/>
        <v>1.6900000000000002E-2</v>
      </c>
      <c r="AC122" s="50">
        <v>0.3</v>
      </c>
      <c r="AD122" s="50">
        <f t="shared" si="22"/>
        <v>3.9E-2</v>
      </c>
    </row>
    <row r="123" spans="1:30" ht="15.75" customHeight="1" x14ac:dyDescent="0.2">
      <c r="A123" s="56">
        <v>5</v>
      </c>
      <c r="B123" s="56" t="s">
        <v>179</v>
      </c>
      <c r="C123" s="56" t="s">
        <v>167</v>
      </c>
      <c r="D123" s="58" t="s">
        <v>97</v>
      </c>
      <c r="E123" s="58" t="s">
        <v>404</v>
      </c>
      <c r="F123" s="56" t="s">
        <v>303</v>
      </c>
      <c r="G123" s="56">
        <v>1</v>
      </c>
      <c r="H123" s="56" t="s">
        <v>304</v>
      </c>
      <c r="I123" s="56">
        <v>45</v>
      </c>
      <c r="J123" s="56">
        <v>2</v>
      </c>
      <c r="K123" s="56"/>
      <c r="L123" s="69">
        <f t="shared" si="30"/>
        <v>2</v>
      </c>
      <c r="M123" s="56">
        <f t="shared" si="29"/>
        <v>90</v>
      </c>
      <c r="N123" s="59" t="s">
        <v>305</v>
      </c>
      <c r="O123" s="56"/>
      <c r="P123" s="56">
        <f t="shared" si="17"/>
        <v>0</v>
      </c>
      <c r="Q123" s="56"/>
      <c r="R123" s="56">
        <f t="shared" si="31"/>
        <v>0</v>
      </c>
      <c r="S123" s="56"/>
      <c r="T123" s="56">
        <f t="shared" si="27"/>
        <v>0</v>
      </c>
      <c r="U123" s="59"/>
      <c r="V123" s="56">
        <f t="shared" si="19"/>
        <v>0</v>
      </c>
      <c r="W123" s="50"/>
      <c r="X123" s="50">
        <f t="shared" si="20"/>
        <v>0</v>
      </c>
      <c r="Y123" s="50"/>
      <c r="Z123" s="50">
        <f t="shared" si="28"/>
        <v>0</v>
      </c>
      <c r="AA123" s="50"/>
      <c r="AB123" s="50">
        <f t="shared" si="26"/>
        <v>0</v>
      </c>
      <c r="AC123" s="50"/>
      <c r="AD123" s="50">
        <f t="shared" si="22"/>
        <v>0</v>
      </c>
    </row>
    <row r="124" spans="1:30" ht="15.75" customHeight="1" x14ac:dyDescent="0.2">
      <c r="A124" s="56">
        <v>5</v>
      </c>
      <c r="B124" s="56" t="s">
        <v>179</v>
      </c>
      <c r="C124" s="56" t="s">
        <v>167</v>
      </c>
      <c r="D124" s="58" t="s">
        <v>17</v>
      </c>
      <c r="E124" s="58" t="s">
        <v>406</v>
      </c>
      <c r="F124" s="56" t="s">
        <v>242</v>
      </c>
      <c r="G124" s="56">
        <v>1</v>
      </c>
      <c r="H124" s="56" t="s">
        <v>29</v>
      </c>
      <c r="I124" s="56">
        <v>50</v>
      </c>
      <c r="J124" s="56">
        <v>2</v>
      </c>
      <c r="K124" s="56"/>
      <c r="L124" s="69">
        <f t="shared" si="30"/>
        <v>2</v>
      </c>
      <c r="M124" s="56">
        <f t="shared" si="29"/>
        <v>100</v>
      </c>
      <c r="N124" s="61" t="s">
        <v>430</v>
      </c>
      <c r="O124" s="56">
        <v>99.5</v>
      </c>
      <c r="P124" s="56">
        <f t="shared" si="17"/>
        <v>199</v>
      </c>
      <c r="Q124" s="56">
        <v>6.75</v>
      </c>
      <c r="R124" s="56">
        <f t="shared" si="31"/>
        <v>13.5</v>
      </c>
      <c r="S124" s="56">
        <v>0.7</v>
      </c>
      <c r="T124" s="56">
        <f t="shared" si="27"/>
        <v>1.4</v>
      </c>
      <c r="U124" s="59">
        <v>7.5</v>
      </c>
      <c r="V124" s="56">
        <f t="shared" si="19"/>
        <v>15</v>
      </c>
      <c r="W124" s="50">
        <v>0</v>
      </c>
      <c r="X124" s="50">
        <f t="shared" si="20"/>
        <v>0</v>
      </c>
      <c r="Y124" s="50">
        <v>27.5</v>
      </c>
      <c r="Z124" s="50">
        <f t="shared" si="28"/>
        <v>55</v>
      </c>
      <c r="AA124" s="50">
        <v>0.8</v>
      </c>
      <c r="AB124" s="50">
        <f t="shared" si="26"/>
        <v>1.6</v>
      </c>
      <c r="AC124" s="50">
        <v>176.5</v>
      </c>
      <c r="AD124" s="50">
        <f t="shared" si="22"/>
        <v>353</v>
      </c>
    </row>
    <row r="125" spans="1:30" ht="15.75" customHeight="1" x14ac:dyDescent="0.2">
      <c r="A125" s="56">
        <v>5</v>
      </c>
      <c r="B125" s="56" t="s">
        <v>179</v>
      </c>
      <c r="C125" s="56" t="s">
        <v>167</v>
      </c>
      <c r="D125" s="58" t="s">
        <v>74</v>
      </c>
      <c r="E125" s="58" t="s">
        <v>424</v>
      </c>
      <c r="F125" s="56" t="s">
        <v>291</v>
      </c>
      <c r="G125" s="56">
        <v>1</v>
      </c>
      <c r="H125" s="56" t="s">
        <v>292</v>
      </c>
      <c r="I125" s="69">
        <v>2</v>
      </c>
      <c r="J125" s="69">
        <v>1</v>
      </c>
      <c r="K125" s="69"/>
      <c r="L125" s="69">
        <f t="shared" si="30"/>
        <v>1</v>
      </c>
      <c r="M125" s="56">
        <f t="shared" si="29"/>
        <v>2</v>
      </c>
      <c r="N125" s="61" t="s">
        <v>293</v>
      </c>
      <c r="O125" s="56">
        <v>0</v>
      </c>
      <c r="P125" s="56">
        <f t="shared" si="17"/>
        <v>0</v>
      </c>
      <c r="Q125" s="56">
        <v>0</v>
      </c>
      <c r="R125" s="56">
        <f t="shared" si="31"/>
        <v>0</v>
      </c>
      <c r="S125" s="56">
        <v>0</v>
      </c>
      <c r="T125" s="56">
        <f t="shared" si="27"/>
        <v>0</v>
      </c>
      <c r="U125" s="59">
        <v>0</v>
      </c>
      <c r="V125" s="56">
        <f t="shared" si="19"/>
        <v>0</v>
      </c>
      <c r="W125" s="50">
        <v>0</v>
      </c>
      <c r="X125" s="50">
        <f t="shared" si="20"/>
        <v>0</v>
      </c>
      <c r="Y125" s="50">
        <v>0</v>
      </c>
      <c r="Z125" s="50">
        <f t="shared" si="28"/>
        <v>0</v>
      </c>
      <c r="AA125" s="50">
        <v>0</v>
      </c>
      <c r="AB125" s="50">
        <f t="shared" si="26"/>
        <v>0</v>
      </c>
      <c r="AC125" s="50">
        <v>0</v>
      </c>
      <c r="AD125" s="50">
        <f t="shared" si="22"/>
        <v>0</v>
      </c>
    </row>
    <row r="126" spans="1:30" ht="15.75" customHeight="1" x14ac:dyDescent="0.2">
      <c r="A126" s="56">
        <v>5</v>
      </c>
      <c r="B126" s="56" t="s">
        <v>179</v>
      </c>
      <c r="C126" s="56" t="s">
        <v>167</v>
      </c>
      <c r="D126" s="58" t="s">
        <v>17</v>
      </c>
      <c r="E126" s="58" t="s">
        <v>424</v>
      </c>
      <c r="F126" s="56" t="s">
        <v>275</v>
      </c>
      <c r="G126" s="56">
        <v>1</v>
      </c>
      <c r="H126" s="56" t="s">
        <v>262</v>
      </c>
      <c r="I126" s="56">
        <v>200</v>
      </c>
      <c r="J126" s="56">
        <v>1.7</v>
      </c>
      <c r="K126" s="56"/>
      <c r="L126" s="69">
        <f t="shared" si="30"/>
        <v>1.7</v>
      </c>
      <c r="M126" s="56">
        <f t="shared" si="29"/>
        <v>340</v>
      </c>
      <c r="N126" s="59" t="s">
        <v>423</v>
      </c>
      <c r="O126" s="56">
        <v>92</v>
      </c>
      <c r="P126" s="56">
        <f t="shared" si="17"/>
        <v>156.4</v>
      </c>
      <c r="Q126" s="56">
        <v>1.4</v>
      </c>
      <c r="R126" s="56">
        <f t="shared" si="31"/>
        <v>2.38</v>
      </c>
      <c r="S126" s="56">
        <v>20.8</v>
      </c>
      <c r="T126" s="56">
        <f t="shared" si="27"/>
        <v>35.36</v>
      </c>
      <c r="U126" s="59">
        <v>0.4</v>
      </c>
      <c r="V126" s="56">
        <f t="shared" si="19"/>
        <v>0.68</v>
      </c>
      <c r="W126" s="50">
        <v>0.4</v>
      </c>
      <c r="X126" s="50">
        <f t="shared" si="20"/>
        <v>0.68</v>
      </c>
      <c r="Y126" s="50">
        <v>22</v>
      </c>
      <c r="Z126" s="50">
        <f t="shared" si="28"/>
        <v>37.4</v>
      </c>
      <c r="AA126" s="50">
        <v>0.4</v>
      </c>
      <c r="AB126" s="50">
        <f t="shared" si="26"/>
        <v>0.68</v>
      </c>
      <c r="AC126" s="50">
        <v>2</v>
      </c>
      <c r="AD126" s="50">
        <f t="shared" si="22"/>
        <v>3.4</v>
      </c>
    </row>
    <row r="127" spans="1:30" ht="15.75" customHeight="1" x14ac:dyDescent="0.2">
      <c r="A127" s="56">
        <v>5</v>
      </c>
      <c r="B127" s="56" t="s">
        <v>179</v>
      </c>
      <c r="C127" s="56" t="s">
        <v>167</v>
      </c>
      <c r="D127" s="58" t="s">
        <v>44</v>
      </c>
      <c r="E127" s="58" t="s">
        <v>18</v>
      </c>
      <c r="F127" s="56" t="s">
        <v>290</v>
      </c>
      <c r="G127" s="56">
        <v>1</v>
      </c>
      <c r="H127" s="56" t="s">
        <v>35</v>
      </c>
      <c r="I127" s="56">
        <v>112</v>
      </c>
      <c r="J127" s="56">
        <v>1</v>
      </c>
      <c r="K127" s="56"/>
      <c r="L127" s="69">
        <f t="shared" si="30"/>
        <v>1</v>
      </c>
      <c r="M127" s="56">
        <f t="shared" si="29"/>
        <v>112</v>
      </c>
      <c r="N127" s="59"/>
      <c r="O127" s="56">
        <v>81</v>
      </c>
      <c r="P127" s="56">
        <f t="shared" si="17"/>
        <v>81</v>
      </c>
      <c r="Q127" s="56">
        <v>0.6</v>
      </c>
      <c r="R127" s="56">
        <f t="shared" si="31"/>
        <v>0.6</v>
      </c>
      <c r="S127" s="56">
        <v>19</v>
      </c>
      <c r="T127" s="56">
        <f t="shared" si="27"/>
        <v>19</v>
      </c>
      <c r="U127" s="59">
        <v>0.3</v>
      </c>
      <c r="V127" s="56">
        <f t="shared" si="19"/>
        <v>0.3</v>
      </c>
      <c r="W127" s="50">
        <v>2</v>
      </c>
      <c r="X127" s="50">
        <f t="shared" si="20"/>
        <v>2</v>
      </c>
      <c r="Y127" s="50">
        <v>11</v>
      </c>
      <c r="Z127" s="50">
        <f t="shared" si="28"/>
        <v>11</v>
      </c>
      <c r="AA127" s="50">
        <v>0.1</v>
      </c>
      <c r="AB127" s="50">
        <f t="shared" si="26"/>
        <v>0.1</v>
      </c>
      <c r="AC127" s="50">
        <v>2</v>
      </c>
      <c r="AD127" s="50">
        <f t="shared" si="22"/>
        <v>2</v>
      </c>
    </row>
    <row r="128" spans="1:30" ht="15.75" customHeight="1" x14ac:dyDescent="0.2">
      <c r="A128" s="56">
        <v>5</v>
      </c>
      <c r="B128" s="56" t="s">
        <v>179</v>
      </c>
      <c r="C128" s="56" t="s">
        <v>167</v>
      </c>
      <c r="D128" s="58" t="s">
        <v>264</v>
      </c>
      <c r="E128" s="58" t="s">
        <v>18</v>
      </c>
      <c r="F128" s="56" t="s">
        <v>119</v>
      </c>
      <c r="G128" s="56">
        <v>1</v>
      </c>
      <c r="H128" s="56" t="s">
        <v>71</v>
      </c>
      <c r="I128" s="56">
        <v>112</v>
      </c>
      <c r="J128" s="56">
        <v>1</v>
      </c>
      <c r="K128" s="56"/>
      <c r="L128" s="69">
        <f t="shared" si="30"/>
        <v>1</v>
      </c>
      <c r="M128" s="56">
        <f t="shared" si="29"/>
        <v>112</v>
      </c>
      <c r="N128" s="59"/>
      <c r="O128" s="56">
        <v>73</v>
      </c>
      <c r="P128" s="56">
        <f t="shared" si="17"/>
        <v>73</v>
      </c>
      <c r="Q128" s="56">
        <v>0.2</v>
      </c>
      <c r="R128" s="56">
        <f t="shared" si="31"/>
        <v>0.2</v>
      </c>
      <c r="S128" s="56">
        <v>17.100000000000001</v>
      </c>
      <c r="T128" s="56">
        <f t="shared" si="27"/>
        <v>17.100000000000001</v>
      </c>
      <c r="U128" s="59">
        <v>0.4</v>
      </c>
      <c r="V128" s="56">
        <f t="shared" si="19"/>
        <v>0.4</v>
      </c>
      <c r="W128" s="50">
        <v>3</v>
      </c>
      <c r="X128" s="50">
        <f t="shared" si="20"/>
        <v>3</v>
      </c>
      <c r="Y128" s="50">
        <v>8</v>
      </c>
      <c r="Z128" s="50">
        <f t="shared" si="28"/>
        <v>8</v>
      </c>
      <c r="AA128" s="50">
        <v>0.2</v>
      </c>
      <c r="AB128" s="50">
        <f t="shared" ref="AB128:AB159" si="32">(AA128*M128)/I128</f>
        <v>0.2</v>
      </c>
      <c r="AC128" s="50">
        <v>0</v>
      </c>
      <c r="AD128" s="50">
        <f t="shared" si="22"/>
        <v>0</v>
      </c>
    </row>
    <row r="129" spans="1:30" ht="15.75" customHeight="1" x14ac:dyDescent="0.2">
      <c r="A129" s="56">
        <v>5</v>
      </c>
      <c r="B129" s="56" t="s">
        <v>179</v>
      </c>
      <c r="C129" s="56" t="s">
        <v>167</v>
      </c>
      <c r="D129" s="58" t="s">
        <v>44</v>
      </c>
      <c r="E129" s="58" t="s">
        <v>410</v>
      </c>
      <c r="F129" s="56" t="s">
        <v>288</v>
      </c>
      <c r="G129" s="56">
        <v>1</v>
      </c>
      <c r="H129" s="56" t="s">
        <v>289</v>
      </c>
      <c r="I129" s="56">
        <v>125</v>
      </c>
      <c r="J129" s="56">
        <v>1</v>
      </c>
      <c r="K129" s="56"/>
      <c r="L129" s="69">
        <f t="shared" si="30"/>
        <v>1</v>
      </c>
      <c r="M129" s="56">
        <f t="shared" si="29"/>
        <v>125</v>
      </c>
      <c r="N129" s="59" t="s">
        <v>434</v>
      </c>
      <c r="O129" s="56">
        <v>103</v>
      </c>
      <c r="P129" s="56">
        <f t="shared" si="17"/>
        <v>103</v>
      </c>
      <c r="Q129" s="56">
        <v>2.9</v>
      </c>
      <c r="R129" s="56">
        <f t="shared" si="31"/>
        <v>2.9</v>
      </c>
      <c r="S129" s="56">
        <v>20.5</v>
      </c>
      <c r="T129" s="56">
        <f t="shared" si="27"/>
        <v>20.5</v>
      </c>
      <c r="U129" s="59">
        <v>1.1000000000000001</v>
      </c>
      <c r="V129" s="56">
        <f t="shared" si="19"/>
        <v>1.1000000000000001</v>
      </c>
      <c r="W129" s="50">
        <v>2.2000000000000002</v>
      </c>
      <c r="X129" s="50">
        <f t="shared" si="20"/>
        <v>2.2000000000000002</v>
      </c>
      <c r="Y129" s="50">
        <v>6</v>
      </c>
      <c r="Z129" s="50">
        <f t="shared" si="28"/>
        <v>6</v>
      </c>
      <c r="AA129" s="50">
        <v>1</v>
      </c>
      <c r="AB129" s="50">
        <f t="shared" si="32"/>
        <v>1</v>
      </c>
      <c r="AC129" s="50">
        <v>235</v>
      </c>
      <c r="AD129" s="50">
        <f t="shared" si="22"/>
        <v>235</v>
      </c>
    </row>
    <row r="130" spans="1:30" ht="15.75" customHeight="1" x14ac:dyDescent="0.2">
      <c r="A130" s="56">
        <v>5</v>
      </c>
      <c r="B130" s="56" t="s">
        <v>179</v>
      </c>
      <c r="C130" s="56" t="s">
        <v>167</v>
      </c>
      <c r="D130" s="58" t="s">
        <v>264</v>
      </c>
      <c r="E130" s="60" t="s">
        <v>410</v>
      </c>
      <c r="F130" s="56" t="s">
        <v>309</v>
      </c>
      <c r="G130" s="56">
        <v>1</v>
      </c>
      <c r="H130" s="56" t="s">
        <v>71</v>
      </c>
      <c r="I130" s="56">
        <v>28</v>
      </c>
      <c r="J130" s="56">
        <v>1</v>
      </c>
      <c r="K130" s="56"/>
      <c r="L130" s="69">
        <f t="shared" si="30"/>
        <v>1</v>
      </c>
      <c r="M130" s="56">
        <f t="shared" si="29"/>
        <v>28</v>
      </c>
      <c r="N130" s="59"/>
      <c r="O130" s="56">
        <v>81</v>
      </c>
      <c r="P130" s="56">
        <f t="shared" ref="P130:P193" si="33">(O130*M130)/I130</f>
        <v>81</v>
      </c>
      <c r="Q130" s="56">
        <v>2.9</v>
      </c>
      <c r="R130" s="56">
        <f t="shared" si="31"/>
        <v>2.9</v>
      </c>
      <c r="S130" s="56">
        <v>12.8</v>
      </c>
      <c r="T130" s="56">
        <f t="shared" ref="T130:T161" si="34">(S130*M130)/I130</f>
        <v>12.8</v>
      </c>
      <c r="U130" s="59">
        <v>2</v>
      </c>
      <c r="V130" s="56">
        <f t="shared" ref="V130:V193" si="35">(U130*M130)/I130</f>
        <v>2</v>
      </c>
      <c r="W130" s="50">
        <v>0.6</v>
      </c>
      <c r="X130" s="50">
        <f t="shared" ref="X130:X193" si="36">(W130*M130)/I130</f>
        <v>0.6</v>
      </c>
      <c r="Y130" s="50">
        <v>60</v>
      </c>
      <c r="Z130" s="50">
        <f t="shared" si="28"/>
        <v>60</v>
      </c>
      <c r="AA130" s="50">
        <v>0.6</v>
      </c>
      <c r="AB130" s="50">
        <f t="shared" si="32"/>
        <v>0.6</v>
      </c>
      <c r="AC130" s="50">
        <v>184</v>
      </c>
      <c r="AD130" s="50">
        <f t="shared" ref="AD130:AD193" si="37">(AC130*M130)/I130</f>
        <v>184</v>
      </c>
    </row>
    <row r="131" spans="1:30" ht="15.75" customHeight="1" x14ac:dyDescent="0.2">
      <c r="A131" s="56">
        <v>5</v>
      </c>
      <c r="B131" s="56" t="s">
        <v>179</v>
      </c>
      <c r="C131" s="56" t="s">
        <v>167</v>
      </c>
      <c r="D131" s="58" t="s">
        <v>44</v>
      </c>
      <c r="E131" s="60" t="s">
        <v>410</v>
      </c>
      <c r="F131" s="56" t="s">
        <v>286</v>
      </c>
      <c r="G131" s="56">
        <v>1</v>
      </c>
      <c r="H131" s="56" t="s">
        <v>53</v>
      </c>
      <c r="I131" s="56">
        <v>85</v>
      </c>
      <c r="J131" s="56">
        <v>1</v>
      </c>
      <c r="K131" s="56"/>
      <c r="L131" s="69">
        <f t="shared" si="30"/>
        <v>1</v>
      </c>
      <c r="M131" s="56">
        <f t="shared" si="29"/>
        <v>85</v>
      </c>
      <c r="N131" s="61" t="s">
        <v>415</v>
      </c>
      <c r="O131" s="56">
        <v>73</v>
      </c>
      <c r="P131" s="56">
        <f t="shared" si="33"/>
        <v>73</v>
      </c>
      <c r="Q131" s="56">
        <v>1.4</v>
      </c>
      <c r="R131" s="56">
        <f t="shared" si="31"/>
        <v>1.4</v>
      </c>
      <c r="S131" s="56">
        <v>16.600000000000001</v>
      </c>
      <c r="T131" s="56">
        <f t="shared" si="34"/>
        <v>16.600000000000001</v>
      </c>
      <c r="U131" s="59">
        <v>0.1</v>
      </c>
      <c r="V131" s="56">
        <f t="shared" si="35"/>
        <v>0.1</v>
      </c>
      <c r="W131" s="50">
        <v>1.5</v>
      </c>
      <c r="X131" s="50">
        <f t="shared" si="36"/>
        <v>1.5</v>
      </c>
      <c r="Y131" s="50">
        <v>7</v>
      </c>
      <c r="Z131" s="50">
        <f t="shared" si="28"/>
        <v>7</v>
      </c>
      <c r="AA131" s="50">
        <v>0.2</v>
      </c>
      <c r="AB131" s="50">
        <f t="shared" si="32"/>
        <v>0.2</v>
      </c>
      <c r="AC131" s="50">
        <v>4</v>
      </c>
      <c r="AD131" s="50">
        <f t="shared" si="37"/>
        <v>4</v>
      </c>
    </row>
    <row r="132" spans="1:30" ht="15.75" customHeight="1" x14ac:dyDescent="0.2">
      <c r="A132" s="56">
        <v>5</v>
      </c>
      <c r="B132" s="56" t="s">
        <v>179</v>
      </c>
      <c r="C132" s="56" t="s">
        <v>167</v>
      </c>
      <c r="D132" s="58" t="s">
        <v>74</v>
      </c>
      <c r="E132" s="60" t="s">
        <v>410</v>
      </c>
      <c r="F132" s="56" t="s">
        <v>80</v>
      </c>
      <c r="G132" s="56">
        <v>3</v>
      </c>
      <c r="H132" s="56" t="s">
        <v>296</v>
      </c>
      <c r="I132" s="69">
        <v>108</v>
      </c>
      <c r="J132" s="69">
        <v>0.5</v>
      </c>
      <c r="K132" s="69"/>
      <c r="L132" s="69">
        <f t="shared" si="30"/>
        <v>0.5</v>
      </c>
      <c r="M132" s="56">
        <f t="shared" si="29"/>
        <v>54</v>
      </c>
      <c r="N132" s="61"/>
      <c r="O132" s="56">
        <v>93</v>
      </c>
      <c r="P132" s="56">
        <f t="shared" si="33"/>
        <v>46.5</v>
      </c>
      <c r="Q132" s="56">
        <v>2.7</v>
      </c>
      <c r="R132" s="56">
        <f t="shared" si="31"/>
        <v>1.35</v>
      </c>
      <c r="S132" s="56">
        <v>20.2</v>
      </c>
      <c r="T132" s="56">
        <f t="shared" si="34"/>
        <v>10.1</v>
      </c>
      <c r="U132" s="59">
        <v>0.1</v>
      </c>
      <c r="V132" s="56">
        <f t="shared" si="35"/>
        <v>0.05</v>
      </c>
      <c r="W132" s="50">
        <v>1.7</v>
      </c>
      <c r="X132" s="50">
        <f t="shared" si="36"/>
        <v>0.85</v>
      </c>
      <c r="Y132" s="50">
        <v>8</v>
      </c>
      <c r="Z132" s="50">
        <f t="shared" ref="Z132:Z163" si="38">(Y132*M132)/I132</f>
        <v>4</v>
      </c>
      <c r="AA132" s="50">
        <v>0.6</v>
      </c>
      <c r="AB132" s="50">
        <f t="shared" si="32"/>
        <v>0.3</v>
      </c>
      <c r="AC132" s="50">
        <v>6</v>
      </c>
      <c r="AD132" s="50">
        <f t="shared" si="37"/>
        <v>3</v>
      </c>
    </row>
    <row r="133" spans="1:30" ht="15.75" customHeight="1" x14ac:dyDescent="0.2">
      <c r="A133" s="56">
        <v>5</v>
      </c>
      <c r="B133" s="56" t="s">
        <v>179</v>
      </c>
      <c r="C133" s="56" t="s">
        <v>167</v>
      </c>
      <c r="D133" s="58" t="s">
        <v>17</v>
      </c>
      <c r="E133" s="58" t="s">
        <v>18</v>
      </c>
      <c r="F133" s="56" t="s">
        <v>272</v>
      </c>
      <c r="G133" s="56">
        <v>1</v>
      </c>
      <c r="H133" s="56" t="s">
        <v>273</v>
      </c>
      <c r="I133" s="56">
        <v>128</v>
      </c>
      <c r="J133" s="56">
        <v>1</v>
      </c>
      <c r="K133" s="56"/>
      <c r="L133" s="69">
        <f t="shared" si="30"/>
        <v>1</v>
      </c>
      <c r="M133" s="56">
        <f t="shared" si="29"/>
        <v>128</v>
      </c>
      <c r="N133" s="59"/>
      <c r="O133" s="56">
        <v>54</v>
      </c>
      <c r="P133" s="56">
        <f t="shared" si="33"/>
        <v>54</v>
      </c>
      <c r="Q133" s="56">
        <v>0.8</v>
      </c>
      <c r="R133" s="56">
        <f t="shared" si="31"/>
        <v>0.8</v>
      </c>
      <c r="S133" s="56">
        <v>12.5</v>
      </c>
      <c r="T133" s="56">
        <f t="shared" si="34"/>
        <v>12.5</v>
      </c>
      <c r="U133" s="59">
        <v>0.1</v>
      </c>
      <c r="V133" s="56">
        <f t="shared" si="35"/>
        <v>0.1</v>
      </c>
      <c r="W133" s="50">
        <v>2.2999999999999998</v>
      </c>
      <c r="X133" s="50">
        <f t="shared" si="36"/>
        <v>2.2999999999999998</v>
      </c>
      <c r="Y133" s="50">
        <v>31</v>
      </c>
      <c r="Z133" s="50">
        <f t="shared" si="38"/>
        <v>31</v>
      </c>
      <c r="AA133" s="50">
        <v>0.1</v>
      </c>
      <c r="AB133" s="50">
        <f t="shared" si="32"/>
        <v>0.1</v>
      </c>
      <c r="AC133" s="50">
        <v>4</v>
      </c>
      <c r="AD133" s="50">
        <f t="shared" si="37"/>
        <v>4</v>
      </c>
    </row>
    <row r="134" spans="1:30" ht="15.75" customHeight="1" x14ac:dyDescent="0.2">
      <c r="A134" s="56">
        <v>5</v>
      </c>
      <c r="B134" s="56" t="s">
        <v>179</v>
      </c>
      <c r="C134" s="56" t="s">
        <v>167</v>
      </c>
      <c r="D134" s="57" t="s">
        <v>236</v>
      </c>
      <c r="E134" s="58" t="s">
        <v>18</v>
      </c>
      <c r="F134" s="56" t="s">
        <v>272</v>
      </c>
      <c r="G134" s="56">
        <v>1</v>
      </c>
      <c r="H134" s="56" t="s">
        <v>273</v>
      </c>
      <c r="I134" s="56">
        <v>128</v>
      </c>
      <c r="J134" s="56">
        <v>0.625</v>
      </c>
      <c r="K134" s="56"/>
      <c r="L134" s="69">
        <f t="shared" si="30"/>
        <v>0.625</v>
      </c>
      <c r="M134" s="56">
        <f t="shared" ref="M134:M164" si="39">I134*L134</f>
        <v>80</v>
      </c>
      <c r="N134" s="59"/>
      <c r="O134" s="56">
        <v>54</v>
      </c>
      <c r="P134" s="56">
        <f t="shared" si="33"/>
        <v>33.75</v>
      </c>
      <c r="Q134" s="56">
        <v>0.8</v>
      </c>
      <c r="R134" s="56">
        <f t="shared" si="31"/>
        <v>0.5</v>
      </c>
      <c r="S134" s="56">
        <v>12.5</v>
      </c>
      <c r="T134" s="56">
        <f t="shared" si="34"/>
        <v>7.8125</v>
      </c>
      <c r="U134" s="59">
        <v>0.1</v>
      </c>
      <c r="V134" s="56">
        <f t="shared" si="35"/>
        <v>6.25E-2</v>
      </c>
      <c r="W134" s="50">
        <v>2.2999999999999998</v>
      </c>
      <c r="X134" s="50">
        <f t="shared" si="36"/>
        <v>1.4375</v>
      </c>
      <c r="Y134" s="50">
        <v>31</v>
      </c>
      <c r="Z134" s="50">
        <f t="shared" si="38"/>
        <v>19.375</v>
      </c>
      <c r="AA134" s="50">
        <v>0.1</v>
      </c>
      <c r="AB134" s="50">
        <f t="shared" si="32"/>
        <v>6.25E-2</v>
      </c>
      <c r="AC134" s="50">
        <v>4</v>
      </c>
      <c r="AD134" s="50">
        <f t="shared" si="37"/>
        <v>2.5</v>
      </c>
    </row>
    <row r="135" spans="1:30" ht="15.75" customHeight="1" x14ac:dyDescent="0.2">
      <c r="A135" s="56">
        <v>5</v>
      </c>
      <c r="B135" s="56" t="s">
        <v>179</v>
      </c>
      <c r="C135" s="56" t="s">
        <v>167</v>
      </c>
      <c r="D135" s="58" t="s">
        <v>74</v>
      </c>
      <c r="E135" s="58" t="s">
        <v>36</v>
      </c>
      <c r="F135" s="56" t="s">
        <v>255</v>
      </c>
      <c r="G135" s="56">
        <v>0.25</v>
      </c>
      <c r="H135" s="56" t="s">
        <v>35</v>
      </c>
      <c r="I135" s="69">
        <v>80</v>
      </c>
      <c r="J135" s="69">
        <v>1</v>
      </c>
      <c r="K135" s="69"/>
      <c r="L135" s="69">
        <f t="shared" si="30"/>
        <v>1</v>
      </c>
      <c r="M135" s="56">
        <f t="shared" si="39"/>
        <v>80</v>
      </c>
      <c r="N135" s="59" t="s">
        <v>407</v>
      </c>
      <c r="O135" s="56">
        <v>83</v>
      </c>
      <c r="P135" s="56">
        <f t="shared" si="33"/>
        <v>83</v>
      </c>
      <c r="Q135" s="56">
        <v>18.5</v>
      </c>
      <c r="R135" s="56">
        <f t="shared" si="31"/>
        <v>18.5</v>
      </c>
      <c r="S135" s="56">
        <v>0</v>
      </c>
      <c r="T135" s="56">
        <f t="shared" si="34"/>
        <v>0</v>
      </c>
      <c r="U135" s="59">
        <v>1</v>
      </c>
      <c r="V135" s="56">
        <f t="shared" si="35"/>
        <v>1</v>
      </c>
      <c r="W135" s="50">
        <v>0</v>
      </c>
      <c r="X135" s="50">
        <f t="shared" si="36"/>
        <v>0</v>
      </c>
      <c r="Y135" s="50">
        <v>9</v>
      </c>
      <c r="Z135" s="50">
        <f t="shared" si="38"/>
        <v>9</v>
      </c>
      <c r="AA135" s="50">
        <v>0.6</v>
      </c>
      <c r="AB135" s="50">
        <f t="shared" si="32"/>
        <v>0.6</v>
      </c>
      <c r="AC135" s="50">
        <v>52</v>
      </c>
      <c r="AD135" s="50">
        <f t="shared" si="37"/>
        <v>52</v>
      </c>
    </row>
    <row r="136" spans="1:30" ht="15.75" customHeight="1" x14ac:dyDescent="0.2">
      <c r="A136" s="56">
        <v>5</v>
      </c>
      <c r="B136" s="56" t="s">
        <v>179</v>
      </c>
      <c r="C136" s="56" t="s">
        <v>167</v>
      </c>
      <c r="D136" s="58" t="s">
        <v>44</v>
      </c>
      <c r="E136" s="58" t="s">
        <v>422</v>
      </c>
      <c r="F136" s="56" t="s">
        <v>277</v>
      </c>
      <c r="G136" s="56">
        <v>1</v>
      </c>
      <c r="H136" s="56" t="s">
        <v>278</v>
      </c>
      <c r="I136" s="56">
        <v>25</v>
      </c>
      <c r="J136" s="56">
        <v>1</v>
      </c>
      <c r="K136" s="56"/>
      <c r="L136" s="69">
        <f t="shared" si="30"/>
        <v>1</v>
      </c>
      <c r="M136" s="56">
        <f t="shared" si="39"/>
        <v>25</v>
      </c>
      <c r="N136" s="59" t="s">
        <v>279</v>
      </c>
      <c r="O136" s="56">
        <v>93</v>
      </c>
      <c r="P136" s="56">
        <f t="shared" si="33"/>
        <v>93</v>
      </c>
      <c r="Q136" s="56">
        <v>1.3</v>
      </c>
      <c r="R136" s="56">
        <f t="shared" si="31"/>
        <v>1.3</v>
      </c>
      <c r="S136" s="56">
        <v>11.1</v>
      </c>
      <c r="T136" s="56">
        <f t="shared" si="34"/>
        <v>11.1</v>
      </c>
      <c r="U136" s="59">
        <v>4.8</v>
      </c>
      <c r="V136" s="56">
        <f t="shared" si="35"/>
        <v>4.8</v>
      </c>
      <c r="W136" s="50">
        <v>0.5</v>
      </c>
      <c r="X136" s="50">
        <f t="shared" si="36"/>
        <v>0.5</v>
      </c>
      <c r="Y136" s="50">
        <v>23</v>
      </c>
      <c r="Z136" s="50">
        <f t="shared" si="38"/>
        <v>23</v>
      </c>
      <c r="AA136" s="50">
        <v>0.3</v>
      </c>
      <c r="AB136" s="50">
        <f t="shared" si="32"/>
        <v>0.3</v>
      </c>
      <c r="AC136" s="50">
        <v>78</v>
      </c>
      <c r="AD136" s="50">
        <f t="shared" si="37"/>
        <v>78</v>
      </c>
    </row>
    <row r="137" spans="1:30" ht="15.75" customHeight="1" x14ac:dyDescent="0.2">
      <c r="A137" s="56">
        <v>5</v>
      </c>
      <c r="B137" s="56" t="s">
        <v>179</v>
      </c>
      <c r="C137" s="56" t="s">
        <v>167</v>
      </c>
      <c r="D137" s="58" t="s">
        <v>17</v>
      </c>
      <c r="E137" s="58" t="s">
        <v>406</v>
      </c>
      <c r="F137" s="56" t="s">
        <v>240</v>
      </c>
      <c r="G137" s="56">
        <v>1</v>
      </c>
      <c r="H137" s="56" t="s">
        <v>241</v>
      </c>
      <c r="I137" s="56">
        <v>30</v>
      </c>
      <c r="J137" s="56">
        <v>1</v>
      </c>
      <c r="K137" s="56"/>
      <c r="L137" s="69">
        <f t="shared" si="30"/>
        <v>1</v>
      </c>
      <c r="M137" s="56">
        <f t="shared" si="39"/>
        <v>30</v>
      </c>
      <c r="N137" s="59"/>
      <c r="O137" s="56">
        <v>83</v>
      </c>
      <c r="P137" s="56">
        <f t="shared" si="33"/>
        <v>83</v>
      </c>
      <c r="Q137" s="56">
        <v>6.5</v>
      </c>
      <c r="R137" s="56">
        <f t="shared" si="31"/>
        <v>6.5</v>
      </c>
      <c r="S137" s="56">
        <v>1.5</v>
      </c>
      <c r="T137" s="56">
        <f t="shared" si="34"/>
        <v>1.5</v>
      </c>
      <c r="U137" s="59">
        <v>5.7</v>
      </c>
      <c r="V137" s="56">
        <f t="shared" si="35"/>
        <v>5.7</v>
      </c>
      <c r="W137" s="50">
        <v>0</v>
      </c>
      <c r="X137" s="50">
        <f t="shared" si="36"/>
        <v>0</v>
      </c>
      <c r="Y137" s="50">
        <v>207</v>
      </c>
      <c r="Z137" s="50">
        <f t="shared" si="38"/>
        <v>207</v>
      </c>
      <c r="AA137" s="50">
        <v>0.2</v>
      </c>
      <c r="AB137" s="50">
        <f t="shared" si="32"/>
        <v>0.2</v>
      </c>
      <c r="AC137" s="50">
        <v>112</v>
      </c>
      <c r="AD137" s="50">
        <f t="shared" si="37"/>
        <v>112</v>
      </c>
    </row>
    <row r="138" spans="1:30" ht="15.75" customHeight="1" x14ac:dyDescent="0.2">
      <c r="A138" s="56">
        <v>5</v>
      </c>
      <c r="B138" s="56" t="s">
        <v>179</v>
      </c>
      <c r="C138" s="56" t="s">
        <v>167</v>
      </c>
      <c r="D138" s="58" t="s">
        <v>74</v>
      </c>
      <c r="E138" s="58" t="s">
        <v>428</v>
      </c>
      <c r="F138" s="56" t="s">
        <v>245</v>
      </c>
      <c r="G138" s="56">
        <v>1</v>
      </c>
      <c r="H138" s="56" t="s">
        <v>244</v>
      </c>
      <c r="I138" s="69"/>
      <c r="J138" s="69"/>
      <c r="K138" s="69"/>
      <c r="L138" s="69">
        <f t="shared" si="30"/>
        <v>0</v>
      </c>
      <c r="M138" s="56">
        <f t="shared" si="39"/>
        <v>0</v>
      </c>
      <c r="N138" s="61" t="s">
        <v>268</v>
      </c>
      <c r="O138" s="56"/>
      <c r="P138" s="56" t="e">
        <f t="shared" si="33"/>
        <v>#DIV/0!</v>
      </c>
      <c r="Q138" s="56"/>
      <c r="R138" s="56" t="e">
        <f t="shared" si="31"/>
        <v>#DIV/0!</v>
      </c>
      <c r="S138" s="56"/>
      <c r="T138" s="56" t="e">
        <f t="shared" si="34"/>
        <v>#DIV/0!</v>
      </c>
      <c r="U138" s="59"/>
      <c r="V138" s="56" t="e">
        <f t="shared" si="35"/>
        <v>#DIV/0!</v>
      </c>
      <c r="W138" s="50"/>
      <c r="X138" s="50" t="e">
        <f t="shared" si="36"/>
        <v>#DIV/0!</v>
      </c>
      <c r="Y138" s="50"/>
      <c r="Z138" s="50" t="e">
        <f t="shared" si="38"/>
        <v>#DIV/0!</v>
      </c>
      <c r="AA138" s="50"/>
      <c r="AB138" s="50" t="e">
        <f t="shared" si="32"/>
        <v>#DIV/0!</v>
      </c>
      <c r="AC138" s="50"/>
      <c r="AD138" s="50" t="e">
        <f t="shared" si="37"/>
        <v>#DIV/0!</v>
      </c>
    </row>
    <row r="139" spans="1:30" ht="15.75" customHeight="1" x14ac:dyDescent="0.2">
      <c r="A139" s="56">
        <v>5</v>
      </c>
      <c r="B139" s="56" t="s">
        <v>179</v>
      </c>
      <c r="C139" s="56" t="s">
        <v>167</v>
      </c>
      <c r="D139" s="58" t="s">
        <v>17</v>
      </c>
      <c r="E139" s="58" t="s">
        <v>428</v>
      </c>
      <c r="F139" s="56" t="s">
        <v>267</v>
      </c>
      <c r="G139" s="56">
        <v>1</v>
      </c>
      <c r="H139" s="56" t="s">
        <v>246</v>
      </c>
      <c r="I139" s="56"/>
      <c r="J139" s="56"/>
      <c r="K139" s="56"/>
      <c r="L139" s="69">
        <f t="shared" si="30"/>
        <v>0</v>
      </c>
      <c r="M139" s="56">
        <f t="shared" si="39"/>
        <v>0</v>
      </c>
      <c r="N139" s="59" t="s">
        <v>268</v>
      </c>
      <c r="O139" s="56"/>
      <c r="P139" s="56" t="e">
        <f t="shared" si="33"/>
        <v>#DIV/0!</v>
      </c>
      <c r="Q139" s="56"/>
      <c r="R139" s="56" t="e">
        <f t="shared" si="31"/>
        <v>#DIV/0!</v>
      </c>
      <c r="S139" s="56"/>
      <c r="T139" s="56" t="e">
        <f t="shared" si="34"/>
        <v>#DIV/0!</v>
      </c>
      <c r="U139" s="59"/>
      <c r="V139" s="56" t="e">
        <f t="shared" si="35"/>
        <v>#DIV/0!</v>
      </c>
      <c r="W139" s="50"/>
      <c r="X139" s="50" t="e">
        <f t="shared" si="36"/>
        <v>#DIV/0!</v>
      </c>
      <c r="Y139" s="50"/>
      <c r="Z139" s="50" t="e">
        <f t="shared" si="38"/>
        <v>#DIV/0!</v>
      </c>
      <c r="AA139" s="50"/>
      <c r="AB139" s="50" t="e">
        <f t="shared" si="32"/>
        <v>#DIV/0!</v>
      </c>
      <c r="AC139" s="50"/>
      <c r="AD139" s="50" t="e">
        <f t="shared" si="37"/>
        <v>#DIV/0!</v>
      </c>
    </row>
    <row r="140" spans="1:30" ht="15.75" customHeight="1" x14ac:dyDescent="0.2">
      <c r="A140" s="56">
        <v>5</v>
      </c>
      <c r="B140" s="56" t="s">
        <v>179</v>
      </c>
      <c r="C140" s="56" t="s">
        <v>167</v>
      </c>
      <c r="D140" s="58" t="s">
        <v>44</v>
      </c>
      <c r="E140" s="58" t="s">
        <v>428</v>
      </c>
      <c r="F140" s="56" t="s">
        <v>287</v>
      </c>
      <c r="G140" s="56">
        <v>1</v>
      </c>
      <c r="H140" s="56" t="s">
        <v>244</v>
      </c>
      <c r="I140" s="56"/>
      <c r="J140" s="56"/>
      <c r="K140" s="56"/>
      <c r="L140" s="69">
        <f t="shared" si="30"/>
        <v>0</v>
      </c>
      <c r="M140" s="56">
        <f t="shared" si="39"/>
        <v>0</v>
      </c>
      <c r="N140" s="59" t="s">
        <v>268</v>
      </c>
      <c r="O140" s="56"/>
      <c r="P140" s="56" t="e">
        <f t="shared" si="33"/>
        <v>#DIV/0!</v>
      </c>
      <c r="Q140" s="56"/>
      <c r="R140" s="56" t="e">
        <f t="shared" si="31"/>
        <v>#DIV/0!</v>
      </c>
      <c r="S140" s="56"/>
      <c r="T140" s="56" t="e">
        <f t="shared" si="34"/>
        <v>#DIV/0!</v>
      </c>
      <c r="U140" s="59"/>
      <c r="V140" s="56" t="e">
        <f t="shared" si="35"/>
        <v>#DIV/0!</v>
      </c>
      <c r="W140" s="50"/>
      <c r="X140" s="50" t="e">
        <f t="shared" si="36"/>
        <v>#DIV/0!</v>
      </c>
      <c r="Y140" s="50"/>
      <c r="Z140" s="50" t="e">
        <f t="shared" si="38"/>
        <v>#DIV/0!</v>
      </c>
      <c r="AA140" s="50"/>
      <c r="AB140" s="50" t="e">
        <f t="shared" si="32"/>
        <v>#DIV/0!</v>
      </c>
      <c r="AC140" s="50"/>
      <c r="AD140" s="50" t="e">
        <f t="shared" si="37"/>
        <v>#DIV/0!</v>
      </c>
    </row>
    <row r="141" spans="1:30" ht="15.75" customHeight="1" x14ac:dyDescent="0.2">
      <c r="A141" s="56">
        <v>5</v>
      </c>
      <c r="B141" s="56" t="s">
        <v>179</v>
      </c>
      <c r="C141" s="56" t="s">
        <v>167</v>
      </c>
      <c r="D141" s="58" t="s">
        <v>17</v>
      </c>
      <c r="E141" s="58" t="s">
        <v>418</v>
      </c>
      <c r="F141" s="56" t="s">
        <v>70</v>
      </c>
      <c r="G141" s="56">
        <v>1</v>
      </c>
      <c r="H141" s="56" t="s">
        <v>53</v>
      </c>
      <c r="I141" s="56">
        <v>132</v>
      </c>
      <c r="J141" s="56">
        <v>1</v>
      </c>
      <c r="K141" s="56"/>
      <c r="L141" s="69">
        <f t="shared" si="30"/>
        <v>1</v>
      </c>
      <c r="M141" s="56">
        <f t="shared" si="39"/>
        <v>132</v>
      </c>
      <c r="N141" s="59"/>
      <c r="O141" s="56"/>
      <c r="P141" s="56">
        <f t="shared" si="33"/>
        <v>0</v>
      </c>
      <c r="Q141" s="56"/>
      <c r="R141" s="56">
        <f t="shared" si="31"/>
        <v>0</v>
      </c>
      <c r="S141" s="56"/>
      <c r="T141" s="56">
        <f t="shared" si="34"/>
        <v>0</v>
      </c>
      <c r="U141" s="59"/>
      <c r="V141" s="56">
        <f t="shared" si="35"/>
        <v>0</v>
      </c>
      <c r="W141" s="50"/>
      <c r="X141" s="50">
        <f t="shared" si="36"/>
        <v>0</v>
      </c>
      <c r="Y141" s="50"/>
      <c r="Z141" s="50">
        <f t="shared" si="38"/>
        <v>0</v>
      </c>
      <c r="AA141" s="50"/>
      <c r="AB141" s="50">
        <f t="shared" si="32"/>
        <v>0</v>
      </c>
      <c r="AC141" s="50"/>
      <c r="AD141" s="50">
        <f t="shared" si="37"/>
        <v>0</v>
      </c>
    </row>
    <row r="142" spans="1:30" ht="15.75" customHeight="1" x14ac:dyDescent="0.2">
      <c r="A142" s="56">
        <v>5</v>
      </c>
      <c r="B142" s="56" t="s">
        <v>179</v>
      </c>
      <c r="C142" s="56" t="s">
        <v>167</v>
      </c>
      <c r="D142" s="58" t="s">
        <v>74</v>
      </c>
      <c r="E142" s="58" t="s">
        <v>418</v>
      </c>
      <c r="F142" s="56" t="s">
        <v>70</v>
      </c>
      <c r="G142" s="56">
        <v>1</v>
      </c>
      <c r="H142" s="56" t="s">
        <v>71</v>
      </c>
      <c r="I142" s="69">
        <v>132</v>
      </c>
      <c r="J142" s="69"/>
      <c r="K142" s="69"/>
      <c r="L142" s="69">
        <f t="shared" si="30"/>
        <v>0</v>
      </c>
      <c r="M142" s="56">
        <f t="shared" si="39"/>
        <v>0</v>
      </c>
      <c r="N142" s="61"/>
      <c r="O142" s="56"/>
      <c r="P142" s="56">
        <f t="shared" si="33"/>
        <v>0</v>
      </c>
      <c r="Q142" s="56"/>
      <c r="R142" s="56">
        <f t="shared" si="31"/>
        <v>0</v>
      </c>
      <c r="S142" s="56"/>
      <c r="T142" s="56">
        <f t="shared" si="34"/>
        <v>0</v>
      </c>
      <c r="U142" s="59"/>
      <c r="V142" s="56">
        <f t="shared" si="35"/>
        <v>0</v>
      </c>
      <c r="W142" s="50"/>
      <c r="X142" s="50">
        <f t="shared" si="36"/>
        <v>0</v>
      </c>
      <c r="Y142" s="50"/>
      <c r="Z142" s="50">
        <f t="shared" si="38"/>
        <v>0</v>
      </c>
      <c r="AA142" s="50"/>
      <c r="AB142" s="50">
        <f t="shared" si="32"/>
        <v>0</v>
      </c>
      <c r="AC142" s="50"/>
      <c r="AD142" s="50">
        <f t="shared" si="37"/>
        <v>0</v>
      </c>
    </row>
    <row r="143" spans="1:30" ht="15.75" customHeight="1" x14ac:dyDescent="0.2">
      <c r="A143" s="56">
        <v>5</v>
      </c>
      <c r="B143" s="56" t="s">
        <v>179</v>
      </c>
      <c r="C143" s="56" t="s">
        <v>167</v>
      </c>
      <c r="D143" s="58" t="s">
        <v>97</v>
      </c>
      <c r="E143" s="56" t="s">
        <v>422</v>
      </c>
      <c r="F143" s="56" t="s">
        <v>301</v>
      </c>
      <c r="G143" s="56">
        <v>3</v>
      </c>
      <c r="H143" s="56" t="s">
        <v>302</v>
      </c>
      <c r="I143" s="56">
        <v>30</v>
      </c>
      <c r="J143" s="56">
        <v>0.5</v>
      </c>
      <c r="K143" s="56"/>
      <c r="L143" s="69">
        <f t="shared" si="30"/>
        <v>0.5</v>
      </c>
      <c r="M143" s="56">
        <f t="shared" si="39"/>
        <v>15</v>
      </c>
      <c r="N143" s="59" t="s">
        <v>300</v>
      </c>
      <c r="O143" s="56"/>
      <c r="P143" s="56">
        <f t="shared" si="33"/>
        <v>0</v>
      </c>
      <c r="Q143" s="56"/>
      <c r="R143" s="56">
        <f t="shared" si="31"/>
        <v>0</v>
      </c>
      <c r="S143" s="56"/>
      <c r="T143" s="56">
        <f t="shared" si="34"/>
        <v>0</v>
      </c>
      <c r="U143" s="59"/>
      <c r="V143" s="56">
        <f t="shared" si="35"/>
        <v>0</v>
      </c>
      <c r="W143" s="50"/>
      <c r="X143" s="50">
        <f t="shared" si="36"/>
        <v>0</v>
      </c>
      <c r="Y143" s="50"/>
      <c r="Z143" s="50">
        <f t="shared" si="38"/>
        <v>0</v>
      </c>
      <c r="AA143" s="50"/>
      <c r="AB143" s="50">
        <f t="shared" si="32"/>
        <v>0</v>
      </c>
      <c r="AC143" s="50"/>
      <c r="AD143" s="50">
        <f t="shared" si="37"/>
        <v>0</v>
      </c>
    </row>
    <row r="144" spans="1:30" ht="15.75" customHeight="1" x14ac:dyDescent="0.2">
      <c r="A144" s="56">
        <v>5</v>
      </c>
      <c r="B144" s="56" t="s">
        <v>179</v>
      </c>
      <c r="C144" s="56" t="s">
        <v>167</v>
      </c>
      <c r="D144" s="57" t="s">
        <v>236</v>
      </c>
      <c r="E144" s="58" t="s">
        <v>404</v>
      </c>
      <c r="F144" s="56" t="s">
        <v>225</v>
      </c>
      <c r="G144" s="56">
        <v>1</v>
      </c>
      <c r="H144" s="56" t="s">
        <v>226</v>
      </c>
      <c r="I144" s="56">
        <v>150</v>
      </c>
      <c r="J144" s="56">
        <v>1</v>
      </c>
      <c r="K144" s="56"/>
      <c r="L144" s="69">
        <f t="shared" si="30"/>
        <v>1</v>
      </c>
      <c r="M144" s="56">
        <f t="shared" si="39"/>
        <v>150</v>
      </c>
      <c r="N144" s="59" t="s">
        <v>297</v>
      </c>
      <c r="O144" s="56"/>
      <c r="P144" s="56">
        <f t="shared" si="33"/>
        <v>0</v>
      </c>
      <c r="Q144" s="56"/>
      <c r="R144" s="56">
        <f t="shared" si="31"/>
        <v>0</v>
      </c>
      <c r="S144" s="56"/>
      <c r="T144" s="56">
        <f t="shared" si="34"/>
        <v>0</v>
      </c>
      <c r="U144" s="59"/>
      <c r="V144" s="56">
        <f t="shared" si="35"/>
        <v>0</v>
      </c>
      <c r="W144" s="50"/>
      <c r="X144" s="50">
        <f t="shared" si="36"/>
        <v>0</v>
      </c>
      <c r="Y144" s="50"/>
      <c r="Z144" s="50">
        <f t="shared" si="38"/>
        <v>0</v>
      </c>
      <c r="AA144" s="50"/>
      <c r="AB144" s="50">
        <f t="shared" si="32"/>
        <v>0</v>
      </c>
      <c r="AC144" s="50"/>
      <c r="AD144" s="50">
        <f t="shared" si="37"/>
        <v>0</v>
      </c>
    </row>
    <row r="145" spans="1:30" ht="15.75" customHeight="1" x14ac:dyDescent="0.2">
      <c r="A145" s="56">
        <v>5</v>
      </c>
      <c r="B145" s="56" t="s">
        <v>179</v>
      </c>
      <c r="C145" s="56" t="s">
        <v>167</v>
      </c>
      <c r="D145" s="58" t="s">
        <v>44</v>
      </c>
      <c r="E145" s="58" t="s">
        <v>418</v>
      </c>
      <c r="F145" s="56" t="s">
        <v>67</v>
      </c>
      <c r="G145" s="78">
        <v>0.5</v>
      </c>
      <c r="H145" s="56" t="s">
        <v>230</v>
      </c>
      <c r="I145" s="56">
        <v>58</v>
      </c>
      <c r="J145" s="56">
        <v>1</v>
      </c>
      <c r="K145" s="56"/>
      <c r="L145" s="69">
        <f t="shared" si="30"/>
        <v>1</v>
      </c>
      <c r="M145" s="56">
        <f t="shared" si="39"/>
        <v>58</v>
      </c>
      <c r="N145" s="59"/>
      <c r="O145" s="56">
        <v>27</v>
      </c>
      <c r="P145" s="56">
        <f t="shared" si="33"/>
        <v>27</v>
      </c>
      <c r="Q145" s="56">
        <v>0.6</v>
      </c>
      <c r="R145" s="56">
        <f t="shared" si="31"/>
        <v>0.6</v>
      </c>
      <c r="S145" s="56">
        <v>5.9</v>
      </c>
      <c r="T145" s="56">
        <f t="shared" si="34"/>
        <v>5.9</v>
      </c>
      <c r="U145" s="59">
        <v>0.1</v>
      </c>
      <c r="V145" s="56">
        <f t="shared" si="35"/>
        <v>0.1</v>
      </c>
      <c r="W145" s="50">
        <v>1.7</v>
      </c>
      <c r="X145" s="50">
        <f t="shared" si="36"/>
        <v>1.7</v>
      </c>
      <c r="Y145" s="50">
        <v>16</v>
      </c>
      <c r="Z145" s="50">
        <f t="shared" si="38"/>
        <v>16</v>
      </c>
      <c r="AA145" s="50">
        <v>0.3</v>
      </c>
      <c r="AB145" s="50">
        <f t="shared" si="32"/>
        <v>0.3</v>
      </c>
      <c r="AC145" s="50">
        <v>20</v>
      </c>
      <c r="AD145" s="50">
        <f t="shared" si="37"/>
        <v>20</v>
      </c>
    </row>
    <row r="146" spans="1:30" ht="15.75" customHeight="1" x14ac:dyDescent="0.2">
      <c r="A146" s="56">
        <v>6</v>
      </c>
      <c r="B146" s="56" t="s">
        <v>179</v>
      </c>
      <c r="C146" s="62" t="s">
        <v>233</v>
      </c>
      <c r="D146" s="58" t="s">
        <v>44</v>
      </c>
      <c r="E146" s="58" t="s">
        <v>23</v>
      </c>
      <c r="F146" s="56" t="s">
        <v>62</v>
      </c>
      <c r="G146" s="56">
        <v>0.125</v>
      </c>
      <c r="H146" s="56" t="s">
        <v>53</v>
      </c>
      <c r="I146" s="56">
        <v>30</v>
      </c>
      <c r="J146" s="56">
        <v>1</v>
      </c>
      <c r="K146" s="56"/>
      <c r="L146" s="69">
        <f t="shared" si="30"/>
        <v>1</v>
      </c>
      <c r="M146" s="56">
        <f t="shared" si="39"/>
        <v>30</v>
      </c>
      <c r="N146" s="59"/>
      <c r="O146" s="56">
        <v>53</v>
      </c>
      <c r="P146" s="56">
        <f t="shared" si="33"/>
        <v>53</v>
      </c>
      <c r="Q146" s="56">
        <v>0.6</v>
      </c>
      <c r="R146" s="56">
        <f t="shared" ref="R146:R177" si="40">(Q146*M146)/I146</f>
        <v>0.6</v>
      </c>
      <c r="S146" s="56">
        <v>2.2000000000000002</v>
      </c>
      <c r="T146" s="56">
        <f t="shared" si="34"/>
        <v>2.2000000000000002</v>
      </c>
      <c r="U146" s="59">
        <v>4.5999999999999996</v>
      </c>
      <c r="V146" s="56">
        <f t="shared" si="35"/>
        <v>4.5999999999999996</v>
      </c>
      <c r="W146" s="50">
        <v>1.5</v>
      </c>
      <c r="X146" s="50">
        <f t="shared" si="36"/>
        <v>1.5</v>
      </c>
      <c r="Y146" s="50">
        <v>3</v>
      </c>
      <c r="Z146" s="50">
        <f t="shared" si="38"/>
        <v>3</v>
      </c>
      <c r="AA146" s="50">
        <v>0.3</v>
      </c>
      <c r="AB146" s="50">
        <f t="shared" si="32"/>
        <v>0.3</v>
      </c>
      <c r="AC146" s="50">
        <v>3</v>
      </c>
      <c r="AD146" s="50">
        <f t="shared" si="37"/>
        <v>3</v>
      </c>
    </row>
    <row r="147" spans="1:30" ht="15.75" customHeight="1" x14ac:dyDescent="0.2">
      <c r="A147" s="56">
        <v>6</v>
      </c>
      <c r="B147" s="56" t="s">
        <v>179</v>
      </c>
      <c r="C147" s="62" t="s">
        <v>233</v>
      </c>
      <c r="D147" s="60" t="s">
        <v>74</v>
      </c>
      <c r="E147" s="58" t="s">
        <v>23</v>
      </c>
      <c r="F147" s="56" t="s">
        <v>62</v>
      </c>
      <c r="G147" s="56">
        <v>0.125</v>
      </c>
      <c r="H147" s="56" t="s">
        <v>53</v>
      </c>
      <c r="I147" s="56">
        <v>30</v>
      </c>
      <c r="J147" s="56">
        <v>1</v>
      </c>
      <c r="K147" s="56"/>
      <c r="L147" s="69">
        <f t="shared" si="30"/>
        <v>1</v>
      </c>
      <c r="M147" s="56">
        <f t="shared" si="39"/>
        <v>30</v>
      </c>
      <c r="N147" s="59"/>
      <c r="O147" s="56">
        <v>53</v>
      </c>
      <c r="P147" s="56">
        <f t="shared" si="33"/>
        <v>53</v>
      </c>
      <c r="Q147" s="56">
        <v>0.6</v>
      </c>
      <c r="R147" s="56">
        <f t="shared" si="40"/>
        <v>0.6</v>
      </c>
      <c r="S147" s="56">
        <v>2.2000000000000002</v>
      </c>
      <c r="T147" s="56">
        <f t="shared" si="34"/>
        <v>2.2000000000000002</v>
      </c>
      <c r="U147" s="59">
        <v>4.5999999999999996</v>
      </c>
      <c r="V147" s="56">
        <f t="shared" si="35"/>
        <v>4.5999999999999996</v>
      </c>
      <c r="W147" s="50">
        <v>1.5</v>
      </c>
      <c r="X147" s="50">
        <f t="shared" si="36"/>
        <v>1.5</v>
      </c>
      <c r="Y147" s="50">
        <v>3</v>
      </c>
      <c r="Z147" s="50">
        <f t="shared" si="38"/>
        <v>3</v>
      </c>
      <c r="AA147" s="50">
        <v>0.3</v>
      </c>
      <c r="AB147" s="50">
        <f t="shared" si="32"/>
        <v>0.3</v>
      </c>
      <c r="AC147" s="50">
        <v>3</v>
      </c>
      <c r="AD147" s="50">
        <f t="shared" si="37"/>
        <v>3</v>
      </c>
    </row>
    <row r="148" spans="1:30" ht="15.75" customHeight="1" x14ac:dyDescent="0.2">
      <c r="A148" s="56">
        <v>6</v>
      </c>
      <c r="B148" s="56" t="s">
        <v>179</v>
      </c>
      <c r="C148" s="62" t="s">
        <v>233</v>
      </c>
      <c r="D148" s="58" t="s">
        <v>17</v>
      </c>
      <c r="E148" s="60" t="s">
        <v>410</v>
      </c>
      <c r="F148" s="71" t="s">
        <v>237</v>
      </c>
      <c r="G148" s="71">
        <v>1</v>
      </c>
      <c r="H148" s="71" t="s">
        <v>35</v>
      </c>
      <c r="I148" s="72">
        <v>52</v>
      </c>
      <c r="J148" s="72">
        <v>1</v>
      </c>
      <c r="K148" s="56"/>
      <c r="L148" s="69">
        <f t="shared" si="30"/>
        <v>1</v>
      </c>
      <c r="M148" s="56">
        <f t="shared" si="39"/>
        <v>52</v>
      </c>
      <c r="N148" s="61" t="s">
        <v>411</v>
      </c>
      <c r="O148" s="56">
        <v>102</v>
      </c>
      <c r="P148" s="56">
        <f t="shared" si="33"/>
        <v>102</v>
      </c>
      <c r="Q148" s="56">
        <v>2.1</v>
      </c>
      <c r="R148" s="56">
        <f t="shared" si="40"/>
        <v>2.1</v>
      </c>
      <c r="S148" s="56">
        <v>22.5</v>
      </c>
      <c r="T148" s="56">
        <f t="shared" si="34"/>
        <v>22.5</v>
      </c>
      <c r="U148" s="59">
        <v>0.3</v>
      </c>
      <c r="V148" s="56">
        <f t="shared" si="35"/>
        <v>0.3</v>
      </c>
      <c r="W148" s="50">
        <v>0.3</v>
      </c>
      <c r="X148" s="50">
        <f t="shared" si="36"/>
        <v>0.3</v>
      </c>
      <c r="Y148" s="50">
        <v>2</v>
      </c>
      <c r="Z148" s="50">
        <f t="shared" si="38"/>
        <v>2</v>
      </c>
      <c r="AA148" s="50">
        <v>0.4</v>
      </c>
      <c r="AB148" s="50">
        <f t="shared" si="32"/>
        <v>0.4</v>
      </c>
      <c r="AC148" s="50">
        <v>1</v>
      </c>
      <c r="AD148" s="50">
        <f t="shared" si="37"/>
        <v>1</v>
      </c>
    </row>
    <row r="149" spans="1:30" ht="15.75" customHeight="1" x14ac:dyDescent="0.2">
      <c r="A149" s="56">
        <v>6</v>
      </c>
      <c r="B149" s="56" t="s">
        <v>179</v>
      </c>
      <c r="C149" s="62" t="s">
        <v>233</v>
      </c>
      <c r="D149" s="58" t="s">
        <v>17</v>
      </c>
      <c r="E149" s="58" t="s">
        <v>18</v>
      </c>
      <c r="F149" s="56" t="s">
        <v>260</v>
      </c>
      <c r="G149" s="56">
        <v>1</v>
      </c>
      <c r="H149" s="56" t="s">
        <v>71</v>
      </c>
      <c r="I149" s="56">
        <v>65</v>
      </c>
      <c r="J149" s="56">
        <v>0.5</v>
      </c>
      <c r="K149" s="56"/>
      <c r="L149" s="69">
        <f t="shared" si="30"/>
        <v>0.5</v>
      </c>
      <c r="M149" s="56">
        <f t="shared" si="39"/>
        <v>32.5</v>
      </c>
      <c r="N149" s="59"/>
      <c r="O149" s="56">
        <v>66</v>
      </c>
      <c r="P149" s="56">
        <f t="shared" si="33"/>
        <v>33</v>
      </c>
      <c r="Q149" s="56">
        <v>0.7</v>
      </c>
      <c r="R149" s="56">
        <f t="shared" si="40"/>
        <v>0.35</v>
      </c>
      <c r="S149" s="56">
        <v>15.2</v>
      </c>
      <c r="T149" s="56">
        <f t="shared" si="34"/>
        <v>7.6</v>
      </c>
      <c r="U149" s="59">
        <v>0.3</v>
      </c>
      <c r="V149" s="56">
        <f t="shared" si="35"/>
        <v>0.15</v>
      </c>
      <c r="W149" s="50">
        <v>1.6</v>
      </c>
      <c r="X149" s="50">
        <f t="shared" si="36"/>
        <v>0.8</v>
      </c>
      <c r="Y149" s="50">
        <v>4</v>
      </c>
      <c r="Z149" s="50">
        <f t="shared" si="38"/>
        <v>2</v>
      </c>
      <c r="AA149" s="50">
        <v>0.2</v>
      </c>
      <c r="AB149" s="50">
        <f t="shared" si="32"/>
        <v>0.1</v>
      </c>
      <c r="AC149" s="50">
        <v>1</v>
      </c>
      <c r="AD149" s="50">
        <f t="shared" si="37"/>
        <v>0.5</v>
      </c>
    </row>
    <row r="150" spans="1:30" ht="15.75" customHeight="1" x14ac:dyDescent="0.2">
      <c r="A150" s="56">
        <v>6</v>
      </c>
      <c r="B150" s="56" t="s">
        <v>179</v>
      </c>
      <c r="C150" s="62" t="s">
        <v>233</v>
      </c>
      <c r="D150" s="65" t="s">
        <v>236</v>
      </c>
      <c r="E150" s="58" t="s">
        <v>410</v>
      </c>
      <c r="F150" s="56" t="s">
        <v>323</v>
      </c>
      <c r="G150" s="56">
        <v>1</v>
      </c>
      <c r="H150" s="56" t="s">
        <v>29</v>
      </c>
      <c r="I150" s="56">
        <v>23</v>
      </c>
      <c r="J150" s="56">
        <v>1</v>
      </c>
      <c r="K150" s="56"/>
      <c r="L150" s="69">
        <f t="shared" si="30"/>
        <v>1</v>
      </c>
      <c r="M150" s="69">
        <f t="shared" si="39"/>
        <v>23</v>
      </c>
      <c r="N150" s="74" t="s">
        <v>324</v>
      </c>
      <c r="O150" s="56">
        <v>90</v>
      </c>
      <c r="P150" s="56">
        <f t="shared" si="33"/>
        <v>90</v>
      </c>
      <c r="Q150" s="56">
        <v>2</v>
      </c>
      <c r="R150" s="56">
        <f t="shared" si="40"/>
        <v>2</v>
      </c>
      <c r="S150" s="56">
        <v>15</v>
      </c>
      <c r="T150" s="56">
        <f t="shared" si="34"/>
        <v>15</v>
      </c>
      <c r="U150" s="59">
        <v>3.5</v>
      </c>
      <c r="V150" s="56">
        <f t="shared" si="35"/>
        <v>3.5</v>
      </c>
      <c r="W150" s="50"/>
      <c r="X150" s="50">
        <f t="shared" si="36"/>
        <v>0</v>
      </c>
      <c r="Y150" s="50"/>
      <c r="Z150" s="50">
        <f t="shared" si="38"/>
        <v>0</v>
      </c>
      <c r="AA150" s="50"/>
      <c r="AB150" s="50">
        <f t="shared" si="32"/>
        <v>0</v>
      </c>
      <c r="AC150" s="50"/>
      <c r="AD150" s="50">
        <f t="shared" si="37"/>
        <v>0</v>
      </c>
    </row>
    <row r="151" spans="1:30" ht="15.75" customHeight="1" x14ac:dyDescent="0.2">
      <c r="A151" s="56">
        <v>6</v>
      </c>
      <c r="B151" s="56" t="s">
        <v>179</v>
      </c>
      <c r="C151" s="62" t="s">
        <v>233</v>
      </c>
      <c r="D151" s="60" t="s">
        <v>74</v>
      </c>
      <c r="E151" s="58" t="s">
        <v>418</v>
      </c>
      <c r="F151" s="56" t="s">
        <v>322</v>
      </c>
      <c r="G151" s="56">
        <v>1</v>
      </c>
      <c r="H151" s="56" t="s">
        <v>251</v>
      </c>
      <c r="I151" s="56">
        <v>89</v>
      </c>
      <c r="J151" s="56">
        <v>0.5</v>
      </c>
      <c r="K151" s="56"/>
      <c r="L151" s="69">
        <f t="shared" si="30"/>
        <v>0.5</v>
      </c>
      <c r="M151" s="56">
        <f t="shared" si="39"/>
        <v>44.5</v>
      </c>
      <c r="N151" s="59"/>
      <c r="O151" s="56">
        <v>36</v>
      </c>
      <c r="P151" s="56">
        <f t="shared" si="33"/>
        <v>18</v>
      </c>
      <c r="Q151" s="56">
        <v>2.7</v>
      </c>
      <c r="R151" s="56">
        <f t="shared" si="40"/>
        <v>1.35</v>
      </c>
      <c r="S151" s="56">
        <v>5.6</v>
      </c>
      <c r="T151" s="56">
        <f t="shared" si="34"/>
        <v>2.8</v>
      </c>
      <c r="U151" s="59">
        <v>0.3</v>
      </c>
      <c r="V151" s="56">
        <f t="shared" si="35"/>
        <v>0.15</v>
      </c>
      <c r="W151" s="50">
        <v>2.9</v>
      </c>
      <c r="X151" s="50">
        <f t="shared" si="36"/>
        <v>1.4499999999999997</v>
      </c>
      <c r="Y151" s="50">
        <v>28</v>
      </c>
      <c r="Z151" s="50">
        <f t="shared" si="38"/>
        <v>14</v>
      </c>
      <c r="AA151" s="50">
        <v>0.6</v>
      </c>
      <c r="AB151" s="50">
        <f t="shared" si="32"/>
        <v>0.3</v>
      </c>
      <c r="AC151" s="50">
        <v>20</v>
      </c>
      <c r="AD151" s="50">
        <f t="shared" si="37"/>
        <v>10</v>
      </c>
    </row>
    <row r="152" spans="1:30" ht="15.75" customHeight="1" x14ac:dyDescent="0.2">
      <c r="A152" s="56">
        <v>6</v>
      </c>
      <c r="B152" s="56" t="s">
        <v>179</v>
      </c>
      <c r="C152" s="62" t="s">
        <v>233</v>
      </c>
      <c r="D152" s="58" t="s">
        <v>44</v>
      </c>
      <c r="E152" s="58" t="s">
        <v>418</v>
      </c>
      <c r="F152" s="56" t="s">
        <v>315</v>
      </c>
      <c r="G152" s="56">
        <v>1</v>
      </c>
      <c r="H152" s="56" t="s">
        <v>273</v>
      </c>
      <c r="I152" s="69">
        <v>68</v>
      </c>
      <c r="J152" s="69">
        <v>1</v>
      </c>
      <c r="K152" s="56"/>
      <c r="L152" s="69">
        <f t="shared" si="30"/>
        <v>1</v>
      </c>
      <c r="M152" s="56">
        <f t="shared" si="39"/>
        <v>68</v>
      </c>
      <c r="N152" s="59" t="s">
        <v>316</v>
      </c>
      <c r="O152" s="56">
        <v>30</v>
      </c>
      <c r="P152" s="56">
        <f t="shared" si="33"/>
        <v>30</v>
      </c>
      <c r="Q152" s="56">
        <v>0.6</v>
      </c>
      <c r="R152" s="56">
        <f t="shared" si="40"/>
        <v>0.6</v>
      </c>
      <c r="S152" s="56">
        <v>6</v>
      </c>
      <c r="T152" s="56">
        <f t="shared" si="34"/>
        <v>6</v>
      </c>
      <c r="U152" s="59">
        <v>0.4</v>
      </c>
      <c r="V152" s="56">
        <f t="shared" si="35"/>
        <v>0.4</v>
      </c>
      <c r="W152" s="50">
        <v>1.9</v>
      </c>
      <c r="X152" s="50">
        <f t="shared" si="36"/>
        <v>1.9</v>
      </c>
      <c r="Y152" s="50">
        <v>10</v>
      </c>
      <c r="Z152" s="50">
        <f t="shared" si="38"/>
        <v>10</v>
      </c>
      <c r="AA152" s="50">
        <v>0.2</v>
      </c>
      <c r="AB152" s="50">
        <f t="shared" si="32"/>
        <v>0.2</v>
      </c>
      <c r="AC152" s="50">
        <v>1</v>
      </c>
      <c r="AD152" s="50">
        <f t="shared" si="37"/>
        <v>1</v>
      </c>
    </row>
    <row r="153" spans="1:30" ht="15.75" customHeight="1" x14ac:dyDescent="0.2">
      <c r="A153" s="56">
        <v>6</v>
      </c>
      <c r="B153" s="56" t="s">
        <v>179</v>
      </c>
      <c r="C153" s="62" t="s">
        <v>233</v>
      </c>
      <c r="D153" s="58" t="s">
        <v>44</v>
      </c>
      <c r="E153" s="58" t="s">
        <v>418</v>
      </c>
      <c r="F153" s="56" t="s">
        <v>60</v>
      </c>
      <c r="G153" s="56">
        <v>1</v>
      </c>
      <c r="H153" s="56" t="s">
        <v>222</v>
      </c>
      <c r="I153" s="56">
        <v>100</v>
      </c>
      <c r="J153" s="56">
        <v>0.5</v>
      </c>
      <c r="K153" s="56"/>
      <c r="L153" s="69">
        <f t="shared" si="30"/>
        <v>0.5</v>
      </c>
      <c r="M153" s="56">
        <f t="shared" si="39"/>
        <v>50</v>
      </c>
      <c r="N153" s="59"/>
      <c r="O153" s="56"/>
      <c r="P153" s="56">
        <f t="shared" si="33"/>
        <v>0</v>
      </c>
      <c r="Q153" s="56"/>
      <c r="R153" s="56">
        <f t="shared" si="40"/>
        <v>0</v>
      </c>
      <c r="S153" s="56"/>
      <c r="T153" s="56">
        <f t="shared" si="34"/>
        <v>0</v>
      </c>
      <c r="U153" s="59"/>
      <c r="V153" s="56">
        <f t="shared" si="35"/>
        <v>0</v>
      </c>
      <c r="W153" s="50"/>
      <c r="X153" s="50">
        <f t="shared" si="36"/>
        <v>0</v>
      </c>
      <c r="Y153" s="50"/>
      <c r="Z153" s="50">
        <f t="shared" si="38"/>
        <v>0</v>
      </c>
      <c r="AA153" s="50"/>
      <c r="AB153" s="50">
        <f t="shared" si="32"/>
        <v>0</v>
      </c>
      <c r="AC153" s="50"/>
      <c r="AD153" s="50">
        <f t="shared" si="37"/>
        <v>0</v>
      </c>
    </row>
    <row r="154" spans="1:30" ht="31.5" customHeight="1" x14ac:dyDescent="0.2">
      <c r="A154" s="56">
        <v>6</v>
      </c>
      <c r="B154" s="56" t="s">
        <v>179</v>
      </c>
      <c r="C154" s="62" t="s">
        <v>233</v>
      </c>
      <c r="D154" s="60" t="s">
        <v>74</v>
      </c>
      <c r="E154" s="58" t="s">
        <v>418</v>
      </c>
      <c r="F154" s="56" t="s">
        <v>60</v>
      </c>
      <c r="G154" s="56">
        <v>1</v>
      </c>
      <c r="H154" s="56" t="s">
        <v>222</v>
      </c>
      <c r="I154" s="56">
        <v>100</v>
      </c>
      <c r="J154" s="56">
        <v>0.5</v>
      </c>
      <c r="K154" s="56"/>
      <c r="L154" s="69">
        <f t="shared" si="30"/>
        <v>0.5</v>
      </c>
      <c r="M154" s="56">
        <f t="shared" si="39"/>
        <v>50</v>
      </c>
      <c r="N154" s="59"/>
      <c r="O154" s="56"/>
      <c r="P154" s="56">
        <f t="shared" si="33"/>
        <v>0</v>
      </c>
      <c r="Q154" s="56"/>
      <c r="R154" s="56">
        <f t="shared" si="40"/>
        <v>0</v>
      </c>
      <c r="S154" s="56"/>
      <c r="T154" s="56">
        <f t="shared" si="34"/>
        <v>0</v>
      </c>
      <c r="U154" s="59"/>
      <c r="V154" s="56">
        <f t="shared" si="35"/>
        <v>0</v>
      </c>
      <c r="W154" s="50"/>
      <c r="X154" s="50">
        <f t="shared" si="36"/>
        <v>0</v>
      </c>
      <c r="Y154" s="50"/>
      <c r="Z154" s="50">
        <f t="shared" si="38"/>
        <v>0</v>
      </c>
      <c r="AA154" s="50"/>
      <c r="AB154" s="50">
        <f t="shared" si="32"/>
        <v>0</v>
      </c>
      <c r="AC154" s="50"/>
      <c r="AD154" s="50">
        <f t="shared" si="37"/>
        <v>0</v>
      </c>
    </row>
    <row r="155" spans="1:30" ht="15.75" customHeight="1" x14ac:dyDescent="0.2">
      <c r="A155" s="56">
        <v>6</v>
      </c>
      <c r="B155" s="56" t="s">
        <v>179</v>
      </c>
      <c r="C155" s="62" t="s">
        <v>233</v>
      </c>
      <c r="D155" s="58" t="s">
        <v>17</v>
      </c>
      <c r="E155" s="58" t="s">
        <v>406</v>
      </c>
      <c r="F155" s="69" t="s">
        <v>311</v>
      </c>
      <c r="G155" s="56">
        <v>1</v>
      </c>
      <c r="H155" s="56" t="s">
        <v>29</v>
      </c>
      <c r="I155" s="56">
        <v>50</v>
      </c>
      <c r="J155" s="56">
        <v>2</v>
      </c>
      <c r="K155" s="56"/>
      <c r="L155" s="69">
        <f t="shared" si="30"/>
        <v>2</v>
      </c>
      <c r="M155" s="56">
        <f t="shared" si="39"/>
        <v>100</v>
      </c>
      <c r="N155" s="59"/>
      <c r="O155" s="56"/>
      <c r="P155" s="56">
        <f t="shared" si="33"/>
        <v>0</v>
      </c>
      <c r="Q155" s="56"/>
      <c r="R155" s="56">
        <f t="shared" si="40"/>
        <v>0</v>
      </c>
      <c r="S155" s="56"/>
      <c r="T155" s="56">
        <f t="shared" si="34"/>
        <v>0</v>
      </c>
      <c r="U155" s="59"/>
      <c r="V155" s="56">
        <f t="shared" si="35"/>
        <v>0</v>
      </c>
      <c r="W155" s="50"/>
      <c r="X155" s="50">
        <f t="shared" si="36"/>
        <v>0</v>
      </c>
      <c r="Y155" s="50"/>
      <c r="Z155" s="50">
        <f t="shared" si="38"/>
        <v>0</v>
      </c>
      <c r="AA155" s="50"/>
      <c r="AB155" s="50">
        <f t="shared" si="32"/>
        <v>0</v>
      </c>
      <c r="AC155" s="50"/>
      <c r="AD155" s="50">
        <f t="shared" si="37"/>
        <v>0</v>
      </c>
    </row>
    <row r="156" spans="1:30" ht="15.75" customHeight="1" x14ac:dyDescent="0.2">
      <c r="A156" s="56">
        <v>6</v>
      </c>
      <c r="B156" s="56" t="s">
        <v>179</v>
      </c>
      <c r="C156" s="62" t="s">
        <v>233</v>
      </c>
      <c r="D156" s="58" t="s">
        <v>17</v>
      </c>
      <c r="E156" s="58" t="s">
        <v>424</v>
      </c>
      <c r="F156" s="56" t="s">
        <v>275</v>
      </c>
      <c r="G156" s="56">
        <v>1</v>
      </c>
      <c r="H156" s="56" t="s">
        <v>262</v>
      </c>
      <c r="I156" s="56">
        <v>200</v>
      </c>
      <c r="J156" s="56">
        <v>1</v>
      </c>
      <c r="K156" s="56"/>
      <c r="L156" s="69">
        <f t="shared" si="30"/>
        <v>1</v>
      </c>
      <c r="M156" s="56">
        <f t="shared" si="39"/>
        <v>200</v>
      </c>
      <c r="N156" s="59" t="s">
        <v>423</v>
      </c>
      <c r="O156" s="56">
        <v>92</v>
      </c>
      <c r="P156" s="56">
        <f t="shared" si="33"/>
        <v>92</v>
      </c>
      <c r="Q156" s="56">
        <v>1.4</v>
      </c>
      <c r="R156" s="56">
        <f t="shared" si="40"/>
        <v>1.4</v>
      </c>
      <c r="S156" s="56">
        <v>20.8</v>
      </c>
      <c r="T156" s="56">
        <f t="shared" si="34"/>
        <v>20.8</v>
      </c>
      <c r="U156" s="59">
        <v>0.4</v>
      </c>
      <c r="V156" s="56">
        <f t="shared" si="35"/>
        <v>0.4</v>
      </c>
      <c r="W156" s="50">
        <v>0.4</v>
      </c>
      <c r="X156" s="50">
        <f t="shared" si="36"/>
        <v>0.4</v>
      </c>
      <c r="Y156" s="50">
        <v>22</v>
      </c>
      <c r="Z156" s="50">
        <f t="shared" si="38"/>
        <v>22</v>
      </c>
      <c r="AA156" s="50">
        <v>0.4</v>
      </c>
      <c r="AB156" s="50">
        <f t="shared" si="32"/>
        <v>0.4</v>
      </c>
      <c r="AC156" s="50">
        <v>2</v>
      </c>
      <c r="AD156" s="50">
        <f t="shared" si="37"/>
        <v>2</v>
      </c>
    </row>
    <row r="157" spans="1:30" ht="15.75" customHeight="1" x14ac:dyDescent="0.2">
      <c r="A157" s="56">
        <v>6</v>
      </c>
      <c r="B157" s="56" t="s">
        <v>179</v>
      </c>
      <c r="C157" s="62" t="s">
        <v>233</v>
      </c>
      <c r="D157" s="58" t="s">
        <v>44</v>
      </c>
      <c r="E157" s="58" t="s">
        <v>18</v>
      </c>
      <c r="F157" s="56" t="s">
        <v>317</v>
      </c>
      <c r="G157" s="56">
        <v>1</v>
      </c>
      <c r="H157" s="56" t="s">
        <v>248</v>
      </c>
      <c r="I157" s="56">
        <v>110</v>
      </c>
      <c r="J157" s="56">
        <v>0.5</v>
      </c>
      <c r="K157" s="56"/>
      <c r="L157" s="69">
        <f t="shared" si="30"/>
        <v>0.5</v>
      </c>
      <c r="M157" s="56">
        <f t="shared" si="39"/>
        <v>55</v>
      </c>
      <c r="N157" s="75" t="s">
        <v>318</v>
      </c>
      <c r="O157" s="56">
        <v>60</v>
      </c>
      <c r="P157" s="56">
        <f t="shared" si="33"/>
        <v>30</v>
      </c>
      <c r="Q157" s="56">
        <v>0.4</v>
      </c>
      <c r="R157" s="56">
        <f t="shared" si="40"/>
        <v>0.2</v>
      </c>
      <c r="S157" s="56">
        <v>13.6</v>
      </c>
      <c r="T157" s="56">
        <f t="shared" si="34"/>
        <v>6.8</v>
      </c>
      <c r="U157" s="59">
        <v>0.4</v>
      </c>
      <c r="V157" s="56">
        <f t="shared" si="35"/>
        <v>0.2</v>
      </c>
      <c r="W157" s="50">
        <v>1.3</v>
      </c>
      <c r="X157" s="50">
        <f t="shared" si="36"/>
        <v>0.65</v>
      </c>
      <c r="Y157" s="50">
        <v>8</v>
      </c>
      <c r="Z157" s="50">
        <f t="shared" si="38"/>
        <v>4</v>
      </c>
      <c r="AA157" s="50">
        <v>0.4</v>
      </c>
      <c r="AB157" s="50">
        <f t="shared" si="32"/>
        <v>0.2</v>
      </c>
      <c r="AC157" s="50">
        <v>1</v>
      </c>
      <c r="AD157" s="50">
        <f t="shared" si="37"/>
        <v>0.5</v>
      </c>
    </row>
    <row r="158" spans="1:30" ht="15.75" customHeight="1" x14ac:dyDescent="0.2">
      <c r="A158" s="56">
        <v>6</v>
      </c>
      <c r="B158" s="56" t="s">
        <v>179</v>
      </c>
      <c r="C158" s="62" t="s">
        <v>233</v>
      </c>
      <c r="D158" s="60" t="s">
        <v>74</v>
      </c>
      <c r="E158" s="58" t="s">
        <v>36</v>
      </c>
      <c r="F158" s="56" t="s">
        <v>319</v>
      </c>
      <c r="G158" s="56">
        <v>1</v>
      </c>
      <c r="H158" s="56" t="s">
        <v>320</v>
      </c>
      <c r="I158" s="56">
        <v>120</v>
      </c>
      <c r="J158" s="56">
        <v>1</v>
      </c>
      <c r="K158" s="56"/>
      <c r="L158" s="69">
        <f t="shared" si="30"/>
        <v>1</v>
      </c>
      <c r="M158" s="56">
        <f t="shared" si="39"/>
        <v>120</v>
      </c>
      <c r="N158" s="74" t="s">
        <v>321</v>
      </c>
      <c r="O158" s="56">
        <v>131</v>
      </c>
      <c r="P158" s="56">
        <f t="shared" si="33"/>
        <v>131</v>
      </c>
      <c r="Q158" s="56">
        <v>30.6</v>
      </c>
      <c r="R158" s="56">
        <f t="shared" si="40"/>
        <v>30.6</v>
      </c>
      <c r="S158" s="56">
        <v>0</v>
      </c>
      <c r="T158" s="56">
        <f t="shared" si="34"/>
        <v>0</v>
      </c>
      <c r="U158" s="59">
        <v>1</v>
      </c>
      <c r="V158" s="56">
        <f t="shared" si="35"/>
        <v>1</v>
      </c>
      <c r="W158" s="50">
        <v>0</v>
      </c>
      <c r="X158" s="50">
        <f t="shared" si="36"/>
        <v>0</v>
      </c>
      <c r="Y158" s="50">
        <v>13</v>
      </c>
      <c r="Z158" s="50">
        <f t="shared" si="38"/>
        <v>13</v>
      </c>
      <c r="AA158" s="50">
        <v>1.8</v>
      </c>
      <c r="AB158" s="50">
        <f t="shared" si="32"/>
        <v>1.8</v>
      </c>
      <c r="AC158" s="50">
        <v>406</v>
      </c>
      <c r="AD158" s="50">
        <f t="shared" si="37"/>
        <v>406</v>
      </c>
    </row>
    <row r="159" spans="1:30" ht="15.75" customHeight="1" x14ac:dyDescent="0.2">
      <c r="A159" s="56">
        <v>6</v>
      </c>
      <c r="B159" s="56" t="s">
        <v>179</v>
      </c>
      <c r="C159" s="62" t="s">
        <v>233</v>
      </c>
      <c r="D159" s="58" t="s">
        <v>17</v>
      </c>
      <c r="E159" s="58" t="s">
        <v>18</v>
      </c>
      <c r="F159" s="56" t="s">
        <v>104</v>
      </c>
      <c r="G159" s="56">
        <v>1</v>
      </c>
      <c r="H159" s="56" t="s">
        <v>71</v>
      </c>
      <c r="I159" s="56">
        <v>112</v>
      </c>
      <c r="J159" s="56">
        <v>0.5</v>
      </c>
      <c r="K159" s="56"/>
      <c r="L159" s="69">
        <f t="shared" si="30"/>
        <v>0.5</v>
      </c>
      <c r="M159" s="56">
        <f t="shared" si="39"/>
        <v>56</v>
      </c>
      <c r="N159" s="59"/>
      <c r="O159" s="56">
        <v>81</v>
      </c>
      <c r="P159" s="56">
        <f t="shared" si="33"/>
        <v>40.5</v>
      </c>
      <c r="Q159" s="56">
        <v>0.6</v>
      </c>
      <c r="R159" s="56">
        <f t="shared" si="40"/>
        <v>0.3</v>
      </c>
      <c r="S159" s="56">
        <v>19</v>
      </c>
      <c r="T159" s="56">
        <f t="shared" si="34"/>
        <v>9.5</v>
      </c>
      <c r="U159" s="59">
        <v>0.3</v>
      </c>
      <c r="V159" s="56">
        <f t="shared" si="35"/>
        <v>0.15</v>
      </c>
      <c r="W159" s="50">
        <v>2</v>
      </c>
      <c r="X159" s="50">
        <f t="shared" si="36"/>
        <v>1</v>
      </c>
      <c r="Y159" s="50">
        <v>11</v>
      </c>
      <c r="Z159" s="50">
        <f t="shared" si="38"/>
        <v>5.5</v>
      </c>
      <c r="AA159" s="50">
        <v>0.1</v>
      </c>
      <c r="AB159" s="50">
        <f t="shared" si="32"/>
        <v>0.05</v>
      </c>
      <c r="AC159" s="50">
        <v>2</v>
      </c>
      <c r="AD159" s="50">
        <f t="shared" si="37"/>
        <v>1</v>
      </c>
    </row>
    <row r="160" spans="1:30" ht="15.75" customHeight="1" x14ac:dyDescent="0.2">
      <c r="A160" s="56">
        <v>6</v>
      </c>
      <c r="B160" s="56" t="s">
        <v>179</v>
      </c>
      <c r="C160" s="62" t="s">
        <v>233</v>
      </c>
      <c r="D160" s="58" t="s">
        <v>17</v>
      </c>
      <c r="E160" s="58" t="s">
        <v>23</v>
      </c>
      <c r="F160" s="56" t="s">
        <v>243</v>
      </c>
      <c r="G160" s="56">
        <v>1</v>
      </c>
      <c r="H160" s="56" t="s">
        <v>244</v>
      </c>
      <c r="I160" s="69">
        <v>5</v>
      </c>
      <c r="J160" s="69">
        <v>1</v>
      </c>
      <c r="K160" s="56"/>
      <c r="L160" s="69">
        <f t="shared" si="30"/>
        <v>1</v>
      </c>
      <c r="M160" s="56">
        <f t="shared" si="39"/>
        <v>5</v>
      </c>
      <c r="N160" s="59"/>
      <c r="O160" s="56">
        <v>45</v>
      </c>
      <c r="P160" s="56">
        <f t="shared" si="33"/>
        <v>45</v>
      </c>
      <c r="Q160" s="56">
        <v>0</v>
      </c>
      <c r="R160" s="56">
        <f t="shared" si="40"/>
        <v>0</v>
      </c>
      <c r="S160" s="56">
        <v>0</v>
      </c>
      <c r="T160" s="56">
        <f t="shared" si="34"/>
        <v>0</v>
      </c>
      <c r="U160" s="59">
        <v>5</v>
      </c>
      <c r="V160" s="56">
        <f t="shared" si="35"/>
        <v>5</v>
      </c>
      <c r="W160" s="50">
        <v>0</v>
      </c>
      <c r="X160" s="50">
        <f t="shared" si="36"/>
        <v>0</v>
      </c>
      <c r="Y160" s="50">
        <v>0</v>
      </c>
      <c r="Z160" s="50">
        <f t="shared" si="38"/>
        <v>0</v>
      </c>
      <c r="AA160" s="50">
        <v>0</v>
      </c>
      <c r="AB160" s="50">
        <f t="shared" ref="AB160:AB191" si="41">(AA160*M160)/I160</f>
        <v>0</v>
      </c>
      <c r="AC160" s="50">
        <v>0</v>
      </c>
      <c r="AD160" s="50">
        <f t="shared" si="37"/>
        <v>0</v>
      </c>
    </row>
    <row r="161" spans="1:30" ht="15.75" customHeight="1" x14ac:dyDescent="0.2">
      <c r="A161" s="56">
        <v>6</v>
      </c>
      <c r="B161" s="56" t="s">
        <v>179</v>
      </c>
      <c r="C161" s="62" t="s">
        <v>233</v>
      </c>
      <c r="D161" s="58" t="s">
        <v>44</v>
      </c>
      <c r="E161" s="60" t="s">
        <v>410</v>
      </c>
      <c r="F161" s="56" t="s">
        <v>286</v>
      </c>
      <c r="G161" s="56">
        <v>1</v>
      </c>
      <c r="H161" s="56" t="s">
        <v>53</v>
      </c>
      <c r="I161" s="56">
        <v>83</v>
      </c>
      <c r="J161" s="56">
        <v>2</v>
      </c>
      <c r="K161" s="56"/>
      <c r="L161" s="69">
        <f t="shared" si="30"/>
        <v>2</v>
      </c>
      <c r="M161" s="56">
        <f t="shared" si="39"/>
        <v>166</v>
      </c>
      <c r="N161" s="61" t="s">
        <v>415</v>
      </c>
      <c r="O161" s="56">
        <v>73</v>
      </c>
      <c r="P161" s="56">
        <f t="shared" si="33"/>
        <v>146</v>
      </c>
      <c r="Q161" s="56">
        <v>1.4</v>
      </c>
      <c r="R161" s="56">
        <f t="shared" si="40"/>
        <v>2.8</v>
      </c>
      <c r="S161" s="56">
        <v>16.600000000000001</v>
      </c>
      <c r="T161" s="56">
        <f t="shared" si="34"/>
        <v>33.200000000000003</v>
      </c>
      <c r="U161" s="59">
        <v>0.1</v>
      </c>
      <c r="V161" s="56">
        <f t="shared" si="35"/>
        <v>0.2</v>
      </c>
      <c r="W161" s="50">
        <v>1.5</v>
      </c>
      <c r="X161" s="50">
        <f t="shared" si="36"/>
        <v>3</v>
      </c>
      <c r="Y161" s="50">
        <v>7</v>
      </c>
      <c r="Z161" s="50">
        <f t="shared" si="38"/>
        <v>14</v>
      </c>
      <c r="AA161" s="50">
        <v>0.2</v>
      </c>
      <c r="AB161" s="50">
        <f t="shared" si="41"/>
        <v>0.4</v>
      </c>
      <c r="AC161" s="50">
        <v>4</v>
      </c>
      <c r="AD161" s="50">
        <f t="shared" si="37"/>
        <v>8</v>
      </c>
    </row>
    <row r="162" spans="1:30" ht="15.75" customHeight="1" x14ac:dyDescent="0.2">
      <c r="A162" s="56">
        <v>6</v>
      </c>
      <c r="B162" s="56" t="s">
        <v>179</v>
      </c>
      <c r="C162" s="62" t="s">
        <v>233</v>
      </c>
      <c r="D162" s="58" t="s">
        <v>17</v>
      </c>
      <c r="E162" s="58" t="s">
        <v>18</v>
      </c>
      <c r="F162" s="56" t="s">
        <v>272</v>
      </c>
      <c r="G162" s="56">
        <v>1</v>
      </c>
      <c r="H162" s="56" t="s">
        <v>312</v>
      </c>
      <c r="I162" s="56">
        <v>128</v>
      </c>
      <c r="J162" s="56">
        <v>0.5</v>
      </c>
      <c r="K162" s="56"/>
      <c r="L162" s="69">
        <f t="shared" si="30"/>
        <v>0.5</v>
      </c>
      <c r="M162" s="56">
        <f t="shared" si="39"/>
        <v>64</v>
      </c>
      <c r="N162" s="59"/>
      <c r="O162" s="56">
        <v>54</v>
      </c>
      <c r="P162" s="56">
        <f t="shared" si="33"/>
        <v>27</v>
      </c>
      <c r="Q162" s="56">
        <v>0.8</v>
      </c>
      <c r="R162" s="56">
        <f t="shared" si="40"/>
        <v>0.4</v>
      </c>
      <c r="S162" s="56">
        <v>12.5</v>
      </c>
      <c r="T162" s="56">
        <f t="shared" ref="T162:T183" si="42">(S162*M162)/I162</f>
        <v>6.25</v>
      </c>
      <c r="U162" s="59">
        <v>0.1</v>
      </c>
      <c r="V162" s="56">
        <f t="shared" si="35"/>
        <v>0.05</v>
      </c>
      <c r="W162" s="50">
        <v>2.2999999999999998</v>
      </c>
      <c r="X162" s="50">
        <f t="shared" si="36"/>
        <v>1.1499999999999999</v>
      </c>
      <c r="Y162" s="50">
        <v>31</v>
      </c>
      <c r="Z162" s="50">
        <f t="shared" si="38"/>
        <v>15.5</v>
      </c>
      <c r="AA162" s="50">
        <v>0.1</v>
      </c>
      <c r="AB162" s="50">
        <f t="shared" si="41"/>
        <v>0.05</v>
      </c>
      <c r="AC162" s="50">
        <v>4</v>
      </c>
      <c r="AD162" s="50">
        <f t="shared" si="37"/>
        <v>2</v>
      </c>
    </row>
    <row r="163" spans="1:30" ht="15.75" customHeight="1" x14ac:dyDescent="0.2">
      <c r="A163" s="56">
        <v>6</v>
      </c>
      <c r="B163" s="56" t="s">
        <v>179</v>
      </c>
      <c r="C163" s="62" t="s">
        <v>233</v>
      </c>
      <c r="D163" s="58" t="s">
        <v>17</v>
      </c>
      <c r="E163" s="58" t="s">
        <v>406</v>
      </c>
      <c r="F163" s="56" t="s">
        <v>240</v>
      </c>
      <c r="G163" s="56">
        <v>1</v>
      </c>
      <c r="H163" s="56" t="s">
        <v>310</v>
      </c>
      <c r="I163" s="56">
        <v>30</v>
      </c>
      <c r="J163" s="56">
        <v>1</v>
      </c>
      <c r="K163" s="56"/>
      <c r="L163" s="69">
        <f t="shared" si="30"/>
        <v>1</v>
      </c>
      <c r="M163" s="56">
        <f t="shared" si="39"/>
        <v>30</v>
      </c>
      <c r="N163" s="59"/>
      <c r="O163" s="56">
        <v>83</v>
      </c>
      <c r="P163" s="56">
        <f t="shared" si="33"/>
        <v>83</v>
      </c>
      <c r="Q163" s="56">
        <v>6.5</v>
      </c>
      <c r="R163" s="56">
        <f t="shared" si="40"/>
        <v>6.5</v>
      </c>
      <c r="S163" s="56">
        <v>1.5</v>
      </c>
      <c r="T163" s="56">
        <f t="shared" si="42"/>
        <v>1.5</v>
      </c>
      <c r="U163" s="59">
        <v>5.7</v>
      </c>
      <c r="V163" s="56">
        <f t="shared" si="35"/>
        <v>5.7</v>
      </c>
      <c r="W163" s="50">
        <v>0</v>
      </c>
      <c r="X163" s="50">
        <f t="shared" si="36"/>
        <v>0</v>
      </c>
      <c r="Y163" s="50">
        <v>207</v>
      </c>
      <c r="Z163" s="50">
        <f t="shared" si="38"/>
        <v>207</v>
      </c>
      <c r="AA163" s="50">
        <v>0.2</v>
      </c>
      <c r="AB163" s="50">
        <f t="shared" si="41"/>
        <v>0.2</v>
      </c>
      <c r="AC163" s="50">
        <v>112</v>
      </c>
      <c r="AD163" s="50">
        <f t="shared" si="37"/>
        <v>112</v>
      </c>
    </row>
    <row r="164" spans="1:30" ht="31.5" customHeight="1" x14ac:dyDescent="0.2">
      <c r="A164" s="56">
        <v>6</v>
      </c>
      <c r="B164" s="56" t="s">
        <v>179</v>
      </c>
      <c r="C164" s="62" t="s">
        <v>233</v>
      </c>
      <c r="D164" s="58" t="s">
        <v>44</v>
      </c>
      <c r="E164" s="58" t="s">
        <v>36</v>
      </c>
      <c r="F164" s="56" t="s">
        <v>313</v>
      </c>
      <c r="G164" s="56">
        <v>1</v>
      </c>
      <c r="H164" s="56" t="s">
        <v>278</v>
      </c>
      <c r="I164" s="56">
        <v>73</v>
      </c>
      <c r="J164" s="56">
        <v>2</v>
      </c>
      <c r="K164" s="56"/>
      <c r="L164" s="69">
        <f t="shared" si="30"/>
        <v>2</v>
      </c>
      <c r="M164" s="56">
        <f t="shared" si="39"/>
        <v>146</v>
      </c>
      <c r="N164" s="74" t="s">
        <v>314</v>
      </c>
      <c r="O164" s="56">
        <v>81</v>
      </c>
      <c r="P164" s="56">
        <f t="shared" si="33"/>
        <v>162</v>
      </c>
      <c r="Q164" s="56">
        <v>14.5</v>
      </c>
      <c r="R164" s="56">
        <f t="shared" si="40"/>
        <v>29</v>
      </c>
      <c r="S164" s="56">
        <v>0</v>
      </c>
      <c r="T164" s="56">
        <f t="shared" si="42"/>
        <v>0</v>
      </c>
      <c r="U164" s="59">
        <v>2.6</v>
      </c>
      <c r="V164" s="56">
        <f t="shared" si="35"/>
        <v>5.2</v>
      </c>
      <c r="W164" s="50">
        <v>0</v>
      </c>
      <c r="X164" s="50">
        <f t="shared" si="36"/>
        <v>0</v>
      </c>
      <c r="Y164" s="50">
        <v>9</v>
      </c>
      <c r="Z164" s="50">
        <f t="shared" ref="Z164:Z195" si="43">(Y164*M164)/I164</f>
        <v>18</v>
      </c>
      <c r="AA164" s="50">
        <v>0.6</v>
      </c>
      <c r="AB164" s="50">
        <f t="shared" si="41"/>
        <v>1.2</v>
      </c>
      <c r="AC164" s="50">
        <v>49</v>
      </c>
      <c r="AD164" s="50">
        <f t="shared" si="37"/>
        <v>98</v>
      </c>
    </row>
    <row r="165" spans="1:30" ht="15.75" customHeight="1" x14ac:dyDescent="0.2">
      <c r="A165" s="56">
        <v>7</v>
      </c>
      <c r="B165" s="56" t="s">
        <v>193</v>
      </c>
      <c r="C165" s="56" t="s">
        <v>159</v>
      </c>
      <c r="D165" s="60" t="s">
        <v>97</v>
      </c>
      <c r="E165" s="60" t="s">
        <v>424</v>
      </c>
      <c r="F165" s="56" t="s">
        <v>21</v>
      </c>
      <c r="G165" s="56">
        <v>1</v>
      </c>
      <c r="H165" s="56" t="s">
        <v>262</v>
      </c>
      <c r="I165" s="69"/>
      <c r="J165" s="69"/>
      <c r="K165" s="69"/>
      <c r="L165" s="69">
        <f t="shared" si="30"/>
        <v>0</v>
      </c>
      <c r="M165" s="69">
        <f t="shared" ref="M165:M196" si="44">L165*I165</f>
        <v>0</v>
      </c>
      <c r="N165" s="61" t="s">
        <v>232</v>
      </c>
      <c r="O165" s="56"/>
      <c r="P165" s="56" t="e">
        <f t="shared" si="33"/>
        <v>#DIV/0!</v>
      </c>
      <c r="Q165" s="56"/>
      <c r="R165" s="56" t="e">
        <f t="shared" si="40"/>
        <v>#DIV/0!</v>
      </c>
      <c r="S165" s="56"/>
      <c r="T165" s="56" t="e">
        <f t="shared" si="42"/>
        <v>#DIV/0!</v>
      </c>
      <c r="U165" s="59"/>
      <c r="V165" s="56" t="e">
        <f t="shared" si="35"/>
        <v>#DIV/0!</v>
      </c>
      <c r="W165" s="50"/>
      <c r="X165" s="50" t="e">
        <f t="shared" si="36"/>
        <v>#DIV/0!</v>
      </c>
      <c r="Y165" s="50"/>
      <c r="Z165" s="50" t="e">
        <f t="shared" si="43"/>
        <v>#DIV/0!</v>
      </c>
      <c r="AA165" s="50"/>
      <c r="AB165" s="50" t="e">
        <f t="shared" si="41"/>
        <v>#DIV/0!</v>
      </c>
      <c r="AC165" s="50"/>
      <c r="AD165" s="50" t="e">
        <f t="shared" si="37"/>
        <v>#DIV/0!</v>
      </c>
    </row>
    <row r="166" spans="1:30" ht="15.75" customHeight="1" x14ac:dyDescent="0.2">
      <c r="A166" s="56">
        <v>7</v>
      </c>
      <c r="B166" s="56" t="s">
        <v>193</v>
      </c>
      <c r="C166" s="56" t="s">
        <v>159</v>
      </c>
      <c r="D166" s="60" t="s">
        <v>74</v>
      </c>
      <c r="E166" s="58" t="s">
        <v>422</v>
      </c>
      <c r="F166" s="56" t="s">
        <v>351</v>
      </c>
      <c r="G166" s="56">
        <v>1</v>
      </c>
      <c r="H166" s="56" t="s">
        <v>352</v>
      </c>
      <c r="I166" s="69">
        <v>13</v>
      </c>
      <c r="J166" s="69">
        <v>1</v>
      </c>
      <c r="K166" s="69"/>
      <c r="L166" s="69">
        <f t="shared" si="30"/>
        <v>1</v>
      </c>
      <c r="M166" s="69">
        <f t="shared" si="44"/>
        <v>13</v>
      </c>
      <c r="N166" s="61" t="s">
        <v>353</v>
      </c>
      <c r="O166" s="56">
        <v>90</v>
      </c>
      <c r="P166" s="56">
        <f t="shared" si="33"/>
        <v>90</v>
      </c>
      <c r="Q166" s="56">
        <v>0.1</v>
      </c>
      <c r="R166" s="56">
        <f t="shared" si="40"/>
        <v>0.1</v>
      </c>
      <c r="S166" s="56">
        <v>22.4</v>
      </c>
      <c r="T166" s="56">
        <f t="shared" si="42"/>
        <v>22.4</v>
      </c>
      <c r="U166" s="59">
        <v>0</v>
      </c>
      <c r="V166" s="56">
        <f t="shared" si="35"/>
        <v>0</v>
      </c>
      <c r="W166" s="50">
        <v>0</v>
      </c>
      <c r="X166" s="50">
        <f t="shared" si="36"/>
        <v>0</v>
      </c>
      <c r="Y166" s="50">
        <v>21</v>
      </c>
      <c r="Z166" s="50">
        <f t="shared" si="43"/>
        <v>21</v>
      </c>
      <c r="AA166" s="50">
        <v>0.6</v>
      </c>
      <c r="AB166" s="50">
        <f t="shared" si="41"/>
        <v>0.6</v>
      </c>
      <c r="AC166" s="50">
        <v>10</v>
      </c>
      <c r="AD166" s="50">
        <f t="shared" si="37"/>
        <v>10</v>
      </c>
    </row>
    <row r="167" spans="1:30" ht="15.75" customHeight="1" x14ac:dyDescent="0.2">
      <c r="A167" s="56">
        <v>7</v>
      </c>
      <c r="B167" s="56" t="s">
        <v>193</v>
      </c>
      <c r="C167" s="56" t="s">
        <v>159</v>
      </c>
      <c r="D167" s="60" t="s">
        <v>44</v>
      </c>
      <c r="E167" s="58" t="s">
        <v>23</v>
      </c>
      <c r="F167" s="56" t="s">
        <v>63</v>
      </c>
      <c r="G167" s="56">
        <f>1/8</f>
        <v>0.125</v>
      </c>
      <c r="H167" s="56" t="s">
        <v>53</v>
      </c>
      <c r="I167" s="69">
        <v>30</v>
      </c>
      <c r="J167" s="69">
        <v>4</v>
      </c>
      <c r="K167" s="69"/>
      <c r="L167" s="69">
        <f t="shared" si="30"/>
        <v>4</v>
      </c>
      <c r="M167" s="69">
        <f t="shared" si="44"/>
        <v>120</v>
      </c>
      <c r="N167" s="61"/>
      <c r="O167" s="56">
        <v>53</v>
      </c>
      <c r="P167" s="56">
        <f t="shared" si="33"/>
        <v>212</v>
      </c>
      <c r="Q167" s="56">
        <v>0.6</v>
      </c>
      <c r="R167" s="56">
        <f t="shared" si="40"/>
        <v>2.4</v>
      </c>
      <c r="S167" s="56">
        <v>2.2000000000000002</v>
      </c>
      <c r="T167" s="56">
        <f t="shared" si="42"/>
        <v>8.8000000000000007</v>
      </c>
      <c r="U167" s="59">
        <v>4.5999999999999996</v>
      </c>
      <c r="V167" s="56">
        <f t="shared" si="35"/>
        <v>18.399999999999999</v>
      </c>
      <c r="W167" s="50">
        <v>1.5</v>
      </c>
      <c r="X167" s="50">
        <f t="shared" si="36"/>
        <v>6</v>
      </c>
      <c r="Y167" s="50">
        <v>3</v>
      </c>
      <c r="Z167" s="50">
        <f t="shared" si="43"/>
        <v>12</v>
      </c>
      <c r="AA167" s="50">
        <v>0.3</v>
      </c>
      <c r="AB167" s="50">
        <f t="shared" si="41"/>
        <v>1.2</v>
      </c>
      <c r="AC167" s="50">
        <v>3</v>
      </c>
      <c r="AD167" s="50">
        <f t="shared" si="37"/>
        <v>12</v>
      </c>
    </row>
    <row r="168" spans="1:30" ht="15.75" customHeight="1" x14ac:dyDescent="0.2">
      <c r="A168" s="56">
        <v>7</v>
      </c>
      <c r="B168" s="56" t="s">
        <v>193</v>
      </c>
      <c r="C168" s="56" t="s">
        <v>159</v>
      </c>
      <c r="D168" s="58" t="s">
        <v>17</v>
      </c>
      <c r="E168" s="60" t="s">
        <v>410</v>
      </c>
      <c r="F168" s="56" t="s">
        <v>331</v>
      </c>
      <c r="G168" s="71">
        <v>1</v>
      </c>
      <c r="H168" s="71" t="s">
        <v>35</v>
      </c>
      <c r="I168" s="72">
        <v>52</v>
      </c>
      <c r="J168" s="72">
        <v>1</v>
      </c>
      <c r="K168" s="69"/>
      <c r="L168" s="69">
        <f t="shared" ref="L168:L231" si="45">IF(J168=0,(K168/G168),J168)</f>
        <v>1</v>
      </c>
      <c r="M168" s="69">
        <f t="shared" si="44"/>
        <v>52</v>
      </c>
      <c r="N168" s="61" t="s">
        <v>411</v>
      </c>
      <c r="O168" s="56">
        <v>102</v>
      </c>
      <c r="P168" s="56">
        <f t="shared" si="33"/>
        <v>102</v>
      </c>
      <c r="Q168" s="56">
        <v>2.1</v>
      </c>
      <c r="R168" s="56">
        <f t="shared" si="40"/>
        <v>2.1</v>
      </c>
      <c r="S168" s="56">
        <v>22.5</v>
      </c>
      <c r="T168" s="56">
        <f t="shared" si="42"/>
        <v>22.5</v>
      </c>
      <c r="U168" s="59">
        <v>0.3</v>
      </c>
      <c r="V168" s="56">
        <f t="shared" si="35"/>
        <v>0.3</v>
      </c>
      <c r="W168" s="50">
        <v>0.3</v>
      </c>
      <c r="X168" s="50">
        <f t="shared" si="36"/>
        <v>0.3</v>
      </c>
      <c r="Y168" s="50">
        <v>2</v>
      </c>
      <c r="Z168" s="50">
        <f t="shared" si="43"/>
        <v>2</v>
      </c>
      <c r="AA168" s="50">
        <v>0.4</v>
      </c>
      <c r="AB168" s="50">
        <f t="shared" si="41"/>
        <v>0.4</v>
      </c>
      <c r="AC168" s="50">
        <v>1</v>
      </c>
      <c r="AD168" s="50">
        <f t="shared" si="37"/>
        <v>1</v>
      </c>
    </row>
    <row r="169" spans="1:30" ht="15.75" customHeight="1" x14ac:dyDescent="0.2">
      <c r="A169" s="56">
        <v>7</v>
      </c>
      <c r="B169" s="56" t="s">
        <v>193</v>
      </c>
      <c r="C169" s="56" t="s">
        <v>159</v>
      </c>
      <c r="D169" s="60" t="s">
        <v>74</v>
      </c>
      <c r="E169" s="60" t="s">
        <v>410</v>
      </c>
      <c r="F169" s="56" t="s">
        <v>348</v>
      </c>
      <c r="G169" s="56">
        <v>1</v>
      </c>
      <c r="H169" s="56" t="s">
        <v>349</v>
      </c>
      <c r="I169" s="69">
        <v>95</v>
      </c>
      <c r="J169" s="69">
        <v>1</v>
      </c>
      <c r="K169" s="69"/>
      <c r="L169" s="69">
        <f t="shared" si="45"/>
        <v>1</v>
      </c>
      <c r="M169" s="69">
        <f t="shared" si="44"/>
        <v>95</v>
      </c>
      <c r="N169" s="61" t="s">
        <v>412</v>
      </c>
      <c r="O169" s="56">
        <v>190</v>
      </c>
      <c r="P169" s="56">
        <f t="shared" si="33"/>
        <v>190</v>
      </c>
      <c r="Q169" s="56">
        <v>7</v>
      </c>
      <c r="R169" s="56">
        <f t="shared" si="40"/>
        <v>7</v>
      </c>
      <c r="S169" s="56">
        <v>34</v>
      </c>
      <c r="T169" s="56">
        <f t="shared" si="42"/>
        <v>34</v>
      </c>
      <c r="U169" s="59">
        <v>3</v>
      </c>
      <c r="V169" s="56">
        <f t="shared" si="35"/>
        <v>3</v>
      </c>
      <c r="W169" s="50"/>
      <c r="X169" s="50">
        <f t="shared" si="36"/>
        <v>0</v>
      </c>
      <c r="Y169" s="50"/>
      <c r="Z169" s="50">
        <f t="shared" si="43"/>
        <v>0</v>
      </c>
      <c r="AA169" s="50"/>
      <c r="AB169" s="50">
        <f t="shared" si="41"/>
        <v>0</v>
      </c>
      <c r="AC169" s="50"/>
      <c r="AD169" s="50">
        <f t="shared" si="37"/>
        <v>0</v>
      </c>
    </row>
    <row r="170" spans="1:30" ht="15.75" customHeight="1" x14ac:dyDescent="0.2">
      <c r="A170" s="56">
        <v>7</v>
      </c>
      <c r="B170" s="56" t="s">
        <v>193</v>
      </c>
      <c r="C170" s="56" t="s">
        <v>159</v>
      </c>
      <c r="D170" s="60" t="s">
        <v>44</v>
      </c>
      <c r="E170" s="60" t="s">
        <v>410</v>
      </c>
      <c r="F170" s="56" t="s">
        <v>339</v>
      </c>
      <c r="G170" s="56">
        <v>6</v>
      </c>
      <c r="H170" s="56" t="s">
        <v>340</v>
      </c>
      <c r="I170" s="69">
        <v>80</v>
      </c>
      <c r="J170" s="69">
        <v>1</v>
      </c>
      <c r="K170" s="69"/>
      <c r="L170" s="69">
        <f t="shared" si="45"/>
        <v>1</v>
      </c>
      <c r="M170" s="69">
        <f t="shared" si="44"/>
        <v>80</v>
      </c>
      <c r="N170" s="59" t="s">
        <v>413</v>
      </c>
      <c r="O170" s="56">
        <v>101</v>
      </c>
      <c r="P170" s="56">
        <f t="shared" si="33"/>
        <v>101</v>
      </c>
      <c r="Q170" s="56">
        <v>1.9</v>
      </c>
      <c r="R170" s="56">
        <f t="shared" si="40"/>
        <v>1.9</v>
      </c>
      <c r="S170" s="56">
        <v>22.9</v>
      </c>
      <c r="T170" s="56">
        <f t="shared" si="42"/>
        <v>22.9</v>
      </c>
      <c r="U170" s="59">
        <v>0.2</v>
      </c>
      <c r="V170" s="56">
        <f t="shared" si="35"/>
        <v>0.2</v>
      </c>
      <c r="W170" s="50">
        <v>0.2</v>
      </c>
      <c r="X170" s="50">
        <f t="shared" si="36"/>
        <v>0.2</v>
      </c>
      <c r="Y170" s="50">
        <v>2</v>
      </c>
      <c r="Z170" s="50">
        <f t="shared" si="43"/>
        <v>2</v>
      </c>
      <c r="AA170" s="50">
        <v>0.2</v>
      </c>
      <c r="AB170" s="50">
        <f t="shared" si="41"/>
        <v>0.2</v>
      </c>
      <c r="AC170" s="50">
        <v>0</v>
      </c>
      <c r="AD170" s="50">
        <f t="shared" si="37"/>
        <v>0</v>
      </c>
    </row>
    <row r="171" spans="1:30" ht="15.75" customHeight="1" x14ac:dyDescent="0.2">
      <c r="A171" s="56">
        <v>7</v>
      </c>
      <c r="B171" s="56" t="s">
        <v>193</v>
      </c>
      <c r="C171" s="56" t="s">
        <v>159</v>
      </c>
      <c r="D171" s="60" t="s">
        <v>44</v>
      </c>
      <c r="E171" s="58" t="s">
        <v>18</v>
      </c>
      <c r="F171" s="56" t="s">
        <v>260</v>
      </c>
      <c r="G171" s="56">
        <v>1</v>
      </c>
      <c r="H171" s="56" t="s">
        <v>71</v>
      </c>
      <c r="I171" s="69">
        <v>65</v>
      </c>
      <c r="J171" s="69">
        <v>2</v>
      </c>
      <c r="K171" s="69"/>
      <c r="L171" s="69">
        <f t="shared" si="45"/>
        <v>2</v>
      </c>
      <c r="M171" s="69">
        <f t="shared" si="44"/>
        <v>130</v>
      </c>
      <c r="N171" s="61"/>
      <c r="O171" s="56">
        <v>66</v>
      </c>
      <c r="P171" s="56">
        <f t="shared" si="33"/>
        <v>132</v>
      </c>
      <c r="Q171" s="56">
        <v>0.7</v>
      </c>
      <c r="R171" s="56">
        <f t="shared" si="40"/>
        <v>1.4</v>
      </c>
      <c r="S171" s="56">
        <v>15.2</v>
      </c>
      <c r="T171" s="56">
        <f t="shared" si="42"/>
        <v>30.4</v>
      </c>
      <c r="U171" s="59">
        <v>0.3</v>
      </c>
      <c r="V171" s="56">
        <f t="shared" si="35"/>
        <v>0.6</v>
      </c>
      <c r="W171" s="50">
        <v>1.6</v>
      </c>
      <c r="X171" s="50">
        <f t="shared" si="36"/>
        <v>3.2</v>
      </c>
      <c r="Y171" s="50">
        <v>4</v>
      </c>
      <c r="Z171" s="50">
        <f t="shared" si="43"/>
        <v>8</v>
      </c>
      <c r="AA171" s="50">
        <v>0.2</v>
      </c>
      <c r="AB171" s="50">
        <f t="shared" si="41"/>
        <v>0.4</v>
      </c>
      <c r="AC171" s="50">
        <v>1</v>
      </c>
      <c r="AD171" s="50">
        <f t="shared" si="37"/>
        <v>2</v>
      </c>
    </row>
    <row r="172" spans="1:30" ht="15.75" customHeight="1" x14ac:dyDescent="0.2">
      <c r="A172" s="56">
        <v>7</v>
      </c>
      <c r="B172" s="56" t="s">
        <v>193</v>
      </c>
      <c r="C172" s="56" t="s">
        <v>159</v>
      </c>
      <c r="D172" s="60" t="s">
        <v>44</v>
      </c>
      <c r="E172" s="58" t="s">
        <v>418</v>
      </c>
      <c r="F172" s="56" t="s">
        <v>322</v>
      </c>
      <c r="G172" s="56">
        <v>1</v>
      </c>
      <c r="H172" s="56" t="s">
        <v>230</v>
      </c>
      <c r="I172" s="69">
        <v>89</v>
      </c>
      <c r="J172" s="69">
        <v>0.5</v>
      </c>
      <c r="K172" s="69"/>
      <c r="L172" s="69">
        <f t="shared" si="45"/>
        <v>0.5</v>
      </c>
      <c r="M172" s="69">
        <f t="shared" si="44"/>
        <v>44.5</v>
      </c>
      <c r="N172" s="61" t="s">
        <v>342</v>
      </c>
      <c r="O172" s="56">
        <v>36</v>
      </c>
      <c r="P172" s="56">
        <f t="shared" si="33"/>
        <v>18</v>
      </c>
      <c r="Q172" s="56">
        <v>2.7</v>
      </c>
      <c r="R172" s="56">
        <f t="shared" si="40"/>
        <v>1.35</v>
      </c>
      <c r="S172" s="56">
        <v>5.6</v>
      </c>
      <c r="T172" s="56">
        <f t="shared" si="42"/>
        <v>2.8</v>
      </c>
      <c r="U172" s="59">
        <v>0.3</v>
      </c>
      <c r="V172" s="56">
        <f t="shared" si="35"/>
        <v>0.15</v>
      </c>
      <c r="W172" s="50">
        <v>2.9</v>
      </c>
      <c r="X172" s="50">
        <f t="shared" si="36"/>
        <v>1.4499999999999997</v>
      </c>
      <c r="Y172" s="50">
        <v>28</v>
      </c>
      <c r="Z172" s="50">
        <f t="shared" si="43"/>
        <v>14</v>
      </c>
      <c r="AA172" s="50">
        <v>0.6</v>
      </c>
      <c r="AB172" s="50">
        <f t="shared" si="41"/>
        <v>0.3</v>
      </c>
      <c r="AC172" s="50">
        <v>20</v>
      </c>
      <c r="AD172" s="50">
        <f t="shared" si="37"/>
        <v>10</v>
      </c>
    </row>
    <row r="173" spans="1:30" ht="15.75" customHeight="1" x14ac:dyDescent="0.2">
      <c r="A173" s="56">
        <v>7</v>
      </c>
      <c r="B173" s="56" t="s">
        <v>193</v>
      </c>
      <c r="C173" s="56" t="s">
        <v>159</v>
      </c>
      <c r="D173" s="57" t="s">
        <v>236</v>
      </c>
      <c r="E173" s="58" t="s">
        <v>424</v>
      </c>
      <c r="F173" s="56" t="s">
        <v>358</v>
      </c>
      <c r="G173" s="56">
        <v>1</v>
      </c>
      <c r="H173" s="56" t="s">
        <v>244</v>
      </c>
      <c r="I173" s="69">
        <v>3</v>
      </c>
      <c r="J173" s="69">
        <v>1</v>
      </c>
      <c r="K173" s="69"/>
      <c r="L173" s="69">
        <f t="shared" si="45"/>
        <v>1</v>
      </c>
      <c r="M173" s="69">
        <f t="shared" si="44"/>
        <v>3</v>
      </c>
      <c r="N173" s="61"/>
      <c r="O173" s="56">
        <v>7</v>
      </c>
      <c r="P173" s="56">
        <f t="shared" si="33"/>
        <v>7</v>
      </c>
      <c r="Q173" s="56">
        <v>0.3</v>
      </c>
      <c r="R173" s="56">
        <f t="shared" si="40"/>
        <v>0.3</v>
      </c>
      <c r="S173" s="56">
        <v>1.2</v>
      </c>
      <c r="T173" s="56">
        <f t="shared" si="42"/>
        <v>1.2</v>
      </c>
      <c r="U173" s="59">
        <v>0</v>
      </c>
      <c r="V173" s="56">
        <f t="shared" si="35"/>
        <v>0</v>
      </c>
      <c r="W173" s="50">
        <v>0</v>
      </c>
      <c r="X173" s="50">
        <f t="shared" si="36"/>
        <v>0</v>
      </c>
      <c r="Y173" s="50">
        <v>4</v>
      </c>
      <c r="Z173" s="50">
        <f t="shared" si="43"/>
        <v>4</v>
      </c>
      <c r="AA173" s="50">
        <v>0.1</v>
      </c>
      <c r="AB173" s="50">
        <f t="shared" si="41"/>
        <v>0.10000000000000002</v>
      </c>
      <c r="AC173" s="50">
        <v>1</v>
      </c>
      <c r="AD173" s="50">
        <f t="shared" si="37"/>
        <v>1</v>
      </c>
    </row>
    <row r="174" spans="1:30" ht="23.25" customHeight="1" x14ac:dyDescent="0.2">
      <c r="A174" s="56">
        <v>7</v>
      </c>
      <c r="B174" s="56" t="s">
        <v>193</v>
      </c>
      <c r="C174" s="56" t="s">
        <v>159</v>
      </c>
      <c r="D174" s="58" t="s">
        <v>17</v>
      </c>
      <c r="E174" s="58" t="s">
        <v>404</v>
      </c>
      <c r="F174" s="56" t="s">
        <v>329</v>
      </c>
      <c r="G174" s="56">
        <v>1</v>
      </c>
      <c r="H174" s="56" t="s">
        <v>262</v>
      </c>
      <c r="I174" s="69">
        <v>200</v>
      </c>
      <c r="J174" s="69">
        <v>0.75</v>
      </c>
      <c r="K174" s="69"/>
      <c r="L174" s="69">
        <f t="shared" si="45"/>
        <v>0.75</v>
      </c>
      <c r="M174" s="69">
        <f t="shared" si="44"/>
        <v>150</v>
      </c>
      <c r="N174" s="61" t="s">
        <v>330</v>
      </c>
      <c r="O174" s="56">
        <v>85</v>
      </c>
      <c r="P174" s="56">
        <f t="shared" si="33"/>
        <v>63.75</v>
      </c>
      <c r="Q174" s="56">
        <v>6.6</v>
      </c>
      <c r="R174" s="56">
        <f t="shared" si="40"/>
        <v>4.95</v>
      </c>
      <c r="S174" s="56">
        <v>9.6</v>
      </c>
      <c r="T174" s="56">
        <f t="shared" si="42"/>
        <v>7.2</v>
      </c>
      <c r="U174" s="59">
        <v>2.2000000000000002</v>
      </c>
      <c r="V174" s="56">
        <f t="shared" si="35"/>
        <v>1.65</v>
      </c>
      <c r="W174" s="50">
        <v>0</v>
      </c>
      <c r="X174" s="50">
        <f t="shared" si="36"/>
        <v>0</v>
      </c>
      <c r="Y174" s="50">
        <v>246</v>
      </c>
      <c r="Z174" s="50">
        <f t="shared" si="43"/>
        <v>184.5</v>
      </c>
      <c r="AA174" s="50">
        <v>0.2</v>
      </c>
      <c r="AB174" s="50">
        <f t="shared" si="41"/>
        <v>0.15</v>
      </c>
      <c r="AC174" s="50">
        <v>102</v>
      </c>
      <c r="AD174" s="50">
        <f t="shared" si="37"/>
        <v>76.5</v>
      </c>
    </row>
    <row r="175" spans="1:30" ht="15.75" customHeight="1" x14ac:dyDescent="0.2">
      <c r="A175" s="56">
        <v>7</v>
      </c>
      <c r="B175" s="56" t="s">
        <v>193</v>
      </c>
      <c r="C175" s="56" t="s">
        <v>159</v>
      </c>
      <c r="D175" s="60" t="s">
        <v>44</v>
      </c>
      <c r="E175" s="58" t="s">
        <v>36</v>
      </c>
      <c r="F175" s="56" t="s">
        <v>338</v>
      </c>
      <c r="G175" s="56">
        <v>1</v>
      </c>
      <c r="H175" s="56" t="s">
        <v>29</v>
      </c>
      <c r="I175" s="69">
        <v>100</v>
      </c>
      <c r="J175" s="69">
        <v>1.2</v>
      </c>
      <c r="K175" s="69"/>
      <c r="L175" s="69">
        <f t="shared" si="45"/>
        <v>1.2</v>
      </c>
      <c r="M175" s="69">
        <f t="shared" si="44"/>
        <v>120</v>
      </c>
      <c r="N175" s="61"/>
      <c r="O175" s="56">
        <v>137</v>
      </c>
      <c r="P175" s="56">
        <f t="shared" si="33"/>
        <v>164.4</v>
      </c>
      <c r="Q175" s="56">
        <v>21.4</v>
      </c>
      <c r="R175" s="56">
        <f t="shared" si="40"/>
        <v>25.68</v>
      </c>
      <c r="S175" s="56">
        <v>0</v>
      </c>
      <c r="T175" s="56">
        <f t="shared" si="42"/>
        <v>0</v>
      </c>
      <c r="U175" s="59">
        <v>5.7</v>
      </c>
      <c r="V175" s="56">
        <f t="shared" si="35"/>
        <v>6.84</v>
      </c>
      <c r="W175" s="50">
        <v>0</v>
      </c>
      <c r="X175" s="50">
        <f t="shared" si="36"/>
        <v>0</v>
      </c>
      <c r="Y175" s="50">
        <v>17</v>
      </c>
      <c r="Z175" s="50">
        <f t="shared" si="43"/>
        <v>20.399999999999999</v>
      </c>
      <c r="AA175" s="50">
        <v>0.8</v>
      </c>
      <c r="AB175" s="50">
        <f t="shared" si="41"/>
        <v>0.96</v>
      </c>
      <c r="AC175" s="50">
        <v>52</v>
      </c>
      <c r="AD175" s="50">
        <f t="shared" si="37"/>
        <v>62.4</v>
      </c>
    </row>
    <row r="176" spans="1:30" ht="15.75" customHeight="1" x14ac:dyDescent="0.2">
      <c r="A176" s="56">
        <v>7</v>
      </c>
      <c r="B176" s="56" t="s">
        <v>193</v>
      </c>
      <c r="C176" s="56" t="s">
        <v>159</v>
      </c>
      <c r="D176" s="60" t="s">
        <v>44</v>
      </c>
      <c r="E176" s="58" t="s">
        <v>418</v>
      </c>
      <c r="F176" s="56" t="s">
        <v>234</v>
      </c>
      <c r="G176" s="56">
        <v>4</v>
      </c>
      <c r="H176" s="56" t="s">
        <v>235</v>
      </c>
      <c r="I176" s="56">
        <v>32</v>
      </c>
      <c r="J176" s="56">
        <v>0.5</v>
      </c>
      <c r="K176" s="69"/>
      <c r="L176" s="69">
        <f t="shared" si="45"/>
        <v>0.5</v>
      </c>
      <c r="M176" s="69">
        <f t="shared" si="44"/>
        <v>16</v>
      </c>
      <c r="N176" s="61" t="s">
        <v>343</v>
      </c>
      <c r="O176" s="56">
        <v>13</v>
      </c>
      <c r="P176" s="56">
        <f t="shared" si="33"/>
        <v>6.5</v>
      </c>
      <c r="Q176" s="56">
        <v>0.4</v>
      </c>
      <c r="R176" s="56">
        <f t="shared" si="40"/>
        <v>0.2</v>
      </c>
      <c r="S176" s="56">
        <v>2.8</v>
      </c>
      <c r="T176" s="56">
        <f t="shared" si="42"/>
        <v>1.4</v>
      </c>
      <c r="U176" s="59">
        <v>0.1</v>
      </c>
      <c r="V176" s="56">
        <f t="shared" si="35"/>
        <v>0.05</v>
      </c>
      <c r="W176" s="50">
        <v>0.6</v>
      </c>
      <c r="X176" s="50">
        <f t="shared" si="36"/>
        <v>0.3</v>
      </c>
      <c r="Y176" s="50">
        <v>6</v>
      </c>
      <c r="Z176" s="50">
        <f t="shared" si="43"/>
        <v>3</v>
      </c>
      <c r="AA176" s="50">
        <v>0.1</v>
      </c>
      <c r="AB176" s="50">
        <f t="shared" si="41"/>
        <v>0.05</v>
      </c>
      <c r="AC176" s="50">
        <v>1</v>
      </c>
      <c r="AD176" s="50">
        <f t="shared" si="37"/>
        <v>0.5</v>
      </c>
    </row>
    <row r="177" spans="1:30" ht="15.75" customHeight="1" x14ac:dyDescent="0.2">
      <c r="A177" s="56">
        <v>7</v>
      </c>
      <c r="B177" s="56" t="s">
        <v>193</v>
      </c>
      <c r="C177" s="56" t="s">
        <v>159</v>
      </c>
      <c r="D177" s="60" t="s">
        <v>264</v>
      </c>
      <c r="E177" s="58" t="s">
        <v>424</v>
      </c>
      <c r="F177" s="56" t="s">
        <v>360</v>
      </c>
      <c r="G177" s="56">
        <v>1</v>
      </c>
      <c r="H177" s="56" t="s">
        <v>239</v>
      </c>
      <c r="I177" s="69">
        <v>300</v>
      </c>
      <c r="J177" s="69">
        <v>1</v>
      </c>
      <c r="K177" s="69"/>
      <c r="L177" s="69">
        <f t="shared" si="45"/>
        <v>1</v>
      </c>
      <c r="M177" s="69">
        <f t="shared" si="44"/>
        <v>300</v>
      </c>
      <c r="N177" s="59" t="s">
        <v>368</v>
      </c>
      <c r="O177" s="56">
        <v>52</v>
      </c>
      <c r="P177" s="56">
        <f t="shared" si="33"/>
        <v>52</v>
      </c>
      <c r="Q177" s="56">
        <v>0.8</v>
      </c>
      <c r="R177" s="56">
        <f t="shared" si="40"/>
        <v>0.8</v>
      </c>
      <c r="S177" s="56">
        <v>2.2999999999999998</v>
      </c>
      <c r="T177" s="56">
        <f t="shared" si="42"/>
        <v>2.2999999999999998</v>
      </c>
      <c r="U177" s="59">
        <v>4.4000000000000004</v>
      </c>
      <c r="V177" s="56">
        <f t="shared" si="35"/>
        <v>4.4000000000000004</v>
      </c>
      <c r="W177" s="50">
        <v>1.2</v>
      </c>
      <c r="X177" s="50">
        <f t="shared" si="36"/>
        <v>1.2</v>
      </c>
      <c r="Y177" s="50">
        <v>6</v>
      </c>
      <c r="Z177" s="50">
        <f t="shared" si="43"/>
        <v>6</v>
      </c>
      <c r="AA177" s="50">
        <v>0.5</v>
      </c>
      <c r="AB177" s="50">
        <f t="shared" si="41"/>
        <v>0.5</v>
      </c>
      <c r="AC177" s="50">
        <v>1</v>
      </c>
      <c r="AD177" s="50">
        <f t="shared" si="37"/>
        <v>1</v>
      </c>
    </row>
    <row r="178" spans="1:30" ht="15.75" customHeight="1" x14ac:dyDescent="0.2">
      <c r="A178" s="56">
        <v>7</v>
      </c>
      <c r="B178" s="56" t="s">
        <v>193</v>
      </c>
      <c r="C178" s="56" t="s">
        <v>159</v>
      </c>
      <c r="D178" s="60" t="s">
        <v>74</v>
      </c>
      <c r="E178" s="58" t="s">
        <v>418</v>
      </c>
      <c r="F178" s="56" t="s">
        <v>350</v>
      </c>
      <c r="G178" s="56">
        <v>1</v>
      </c>
      <c r="H178" s="56" t="s">
        <v>222</v>
      </c>
      <c r="I178" s="56">
        <v>100</v>
      </c>
      <c r="J178" s="56">
        <v>0.5</v>
      </c>
      <c r="K178" s="69"/>
      <c r="L178" s="69">
        <f t="shared" si="45"/>
        <v>0.5</v>
      </c>
      <c r="M178" s="69">
        <f t="shared" si="44"/>
        <v>50</v>
      </c>
      <c r="N178" s="61"/>
      <c r="O178" s="56"/>
      <c r="P178" s="56">
        <f t="shared" si="33"/>
        <v>0</v>
      </c>
      <c r="Q178" s="56"/>
      <c r="R178" s="56">
        <f t="shared" ref="R178:R209" si="46">(Q178*M178)/I178</f>
        <v>0</v>
      </c>
      <c r="S178" s="56"/>
      <c r="T178" s="56">
        <f t="shared" si="42"/>
        <v>0</v>
      </c>
      <c r="U178" s="59"/>
      <c r="V178" s="56">
        <f t="shared" si="35"/>
        <v>0</v>
      </c>
      <c r="W178" s="50"/>
      <c r="X178" s="50">
        <f t="shared" si="36"/>
        <v>0</v>
      </c>
      <c r="Y178" s="50"/>
      <c r="Z178" s="50">
        <f t="shared" si="43"/>
        <v>0</v>
      </c>
      <c r="AA178" s="50"/>
      <c r="AB178" s="50">
        <f t="shared" si="41"/>
        <v>0</v>
      </c>
      <c r="AC178" s="50"/>
      <c r="AD178" s="50">
        <f t="shared" si="37"/>
        <v>0</v>
      </c>
    </row>
    <row r="179" spans="1:30" ht="15.75" customHeight="1" x14ac:dyDescent="0.2">
      <c r="A179" s="56">
        <v>7</v>
      </c>
      <c r="B179" s="56" t="s">
        <v>193</v>
      </c>
      <c r="C179" s="56" t="s">
        <v>159</v>
      </c>
      <c r="D179" s="58" t="s">
        <v>17</v>
      </c>
      <c r="E179" s="58" t="s">
        <v>406</v>
      </c>
      <c r="F179" s="56" t="s">
        <v>325</v>
      </c>
      <c r="G179" s="56">
        <v>1</v>
      </c>
      <c r="H179" s="56" t="s">
        <v>29</v>
      </c>
      <c r="I179" s="69">
        <v>50</v>
      </c>
      <c r="J179" s="69">
        <v>2</v>
      </c>
      <c r="K179" s="69"/>
      <c r="L179" s="69">
        <f t="shared" si="45"/>
        <v>2</v>
      </c>
      <c r="M179" s="69">
        <f t="shared" si="44"/>
        <v>100</v>
      </c>
      <c r="N179" s="61" t="s">
        <v>430</v>
      </c>
      <c r="O179" s="56">
        <v>99.5</v>
      </c>
      <c r="P179" s="56">
        <f t="shared" si="33"/>
        <v>199</v>
      </c>
      <c r="Q179" s="56">
        <v>6.75</v>
      </c>
      <c r="R179" s="56">
        <f t="shared" si="46"/>
        <v>13.5</v>
      </c>
      <c r="S179" s="56">
        <v>0.7</v>
      </c>
      <c r="T179" s="56">
        <f t="shared" si="42"/>
        <v>1.4</v>
      </c>
      <c r="U179" s="59">
        <v>7.5</v>
      </c>
      <c r="V179" s="56">
        <f t="shared" si="35"/>
        <v>15</v>
      </c>
      <c r="W179" s="50">
        <v>0</v>
      </c>
      <c r="X179" s="50">
        <f t="shared" si="36"/>
        <v>0</v>
      </c>
      <c r="Y179" s="50">
        <v>27.5</v>
      </c>
      <c r="Z179" s="50">
        <f t="shared" si="43"/>
        <v>55</v>
      </c>
      <c r="AA179" s="50">
        <v>0.8</v>
      </c>
      <c r="AB179" s="50">
        <f t="shared" si="41"/>
        <v>1.6</v>
      </c>
      <c r="AC179" s="50">
        <v>176.5</v>
      </c>
      <c r="AD179" s="50">
        <f t="shared" si="37"/>
        <v>353</v>
      </c>
    </row>
    <row r="180" spans="1:30" ht="15.75" customHeight="1" x14ac:dyDescent="0.2">
      <c r="A180" s="56">
        <v>7</v>
      </c>
      <c r="B180" s="56" t="s">
        <v>193</v>
      </c>
      <c r="C180" s="56" t="s">
        <v>159</v>
      </c>
      <c r="D180" s="58" t="s">
        <v>17</v>
      </c>
      <c r="E180" s="58" t="s">
        <v>406</v>
      </c>
      <c r="F180" s="63" t="s">
        <v>326</v>
      </c>
      <c r="G180" s="56">
        <v>2</v>
      </c>
      <c r="H180" s="56" t="s">
        <v>327</v>
      </c>
      <c r="I180" s="69">
        <v>42</v>
      </c>
      <c r="J180" s="69">
        <v>1</v>
      </c>
      <c r="K180" s="69"/>
      <c r="L180" s="69">
        <f t="shared" si="45"/>
        <v>1</v>
      </c>
      <c r="M180" s="69">
        <f t="shared" si="44"/>
        <v>42</v>
      </c>
      <c r="N180" s="61" t="s">
        <v>328</v>
      </c>
      <c r="O180" s="56">
        <v>53</v>
      </c>
      <c r="P180" s="56">
        <f t="shared" si="33"/>
        <v>53</v>
      </c>
      <c r="Q180" s="56">
        <v>8.1</v>
      </c>
      <c r="R180" s="56">
        <f t="shared" si="46"/>
        <v>8.1</v>
      </c>
      <c r="S180" s="56">
        <v>0.4</v>
      </c>
      <c r="T180" s="56">
        <f t="shared" si="42"/>
        <v>0.4</v>
      </c>
      <c r="U180" s="59">
        <v>2.1</v>
      </c>
      <c r="V180" s="56">
        <f t="shared" si="35"/>
        <v>2.1</v>
      </c>
      <c r="W180" s="50">
        <v>0</v>
      </c>
      <c r="X180" s="50">
        <f t="shared" si="36"/>
        <v>0</v>
      </c>
      <c r="Y180" s="50">
        <v>3</v>
      </c>
      <c r="Z180" s="50">
        <f t="shared" si="43"/>
        <v>3</v>
      </c>
      <c r="AA180" s="50">
        <v>0.3</v>
      </c>
      <c r="AB180" s="50">
        <f t="shared" si="41"/>
        <v>0.3</v>
      </c>
      <c r="AC180" s="50">
        <v>360</v>
      </c>
      <c r="AD180" s="50">
        <f t="shared" si="37"/>
        <v>360</v>
      </c>
    </row>
    <row r="181" spans="1:30" ht="15.75" customHeight="1" x14ac:dyDescent="0.2">
      <c r="A181" s="56">
        <v>7</v>
      </c>
      <c r="B181" s="56" t="s">
        <v>193</v>
      </c>
      <c r="C181" s="56" t="s">
        <v>159</v>
      </c>
      <c r="D181" s="60" t="s">
        <v>44</v>
      </c>
      <c r="E181" s="58" t="s">
        <v>18</v>
      </c>
      <c r="F181" s="56" t="s">
        <v>345</v>
      </c>
      <c r="G181" s="56">
        <v>1</v>
      </c>
      <c r="H181" s="56" t="s">
        <v>46</v>
      </c>
      <c r="I181" s="69">
        <v>112</v>
      </c>
      <c r="J181" s="69">
        <v>0.25</v>
      </c>
      <c r="K181" s="69"/>
      <c r="L181" s="69">
        <f t="shared" si="45"/>
        <v>0.25</v>
      </c>
      <c r="M181" s="69">
        <f t="shared" si="44"/>
        <v>28</v>
      </c>
      <c r="N181" s="61" t="s">
        <v>346</v>
      </c>
      <c r="O181" s="56">
        <v>81</v>
      </c>
      <c r="P181" s="56">
        <f t="shared" si="33"/>
        <v>20.25</v>
      </c>
      <c r="Q181" s="56">
        <v>0.6</v>
      </c>
      <c r="R181" s="56">
        <f t="shared" si="46"/>
        <v>0.15</v>
      </c>
      <c r="S181" s="56">
        <v>19</v>
      </c>
      <c r="T181" s="56">
        <f t="shared" si="42"/>
        <v>4.75</v>
      </c>
      <c r="U181" s="59">
        <v>0.3</v>
      </c>
      <c r="V181" s="56">
        <f t="shared" si="35"/>
        <v>7.4999999999999997E-2</v>
      </c>
      <c r="W181" s="50">
        <v>2</v>
      </c>
      <c r="X181" s="50">
        <f t="shared" si="36"/>
        <v>0.5</v>
      </c>
      <c r="Y181" s="50">
        <v>11</v>
      </c>
      <c r="Z181" s="50">
        <f t="shared" si="43"/>
        <v>2.75</v>
      </c>
      <c r="AA181" s="50">
        <v>0.1</v>
      </c>
      <c r="AB181" s="50">
        <f t="shared" si="41"/>
        <v>2.5000000000000001E-2</v>
      </c>
      <c r="AC181" s="50">
        <v>2</v>
      </c>
      <c r="AD181" s="50">
        <f t="shared" si="37"/>
        <v>0.5</v>
      </c>
    </row>
    <row r="182" spans="1:30" ht="15.75" customHeight="1" x14ac:dyDescent="0.2">
      <c r="A182" s="56">
        <v>7</v>
      </c>
      <c r="B182" s="56" t="s">
        <v>193</v>
      </c>
      <c r="C182" s="56" t="s">
        <v>159</v>
      </c>
      <c r="D182" s="57" t="s">
        <v>236</v>
      </c>
      <c r="E182" s="58" t="s">
        <v>404</v>
      </c>
      <c r="F182" s="56" t="s">
        <v>355</v>
      </c>
      <c r="G182" s="56">
        <v>1</v>
      </c>
      <c r="H182" s="56" t="s">
        <v>263</v>
      </c>
      <c r="I182" s="69">
        <v>200</v>
      </c>
      <c r="J182" s="69">
        <v>1</v>
      </c>
      <c r="K182" s="69"/>
      <c r="L182" s="69">
        <f t="shared" si="45"/>
        <v>1</v>
      </c>
      <c r="M182" s="69">
        <f t="shared" si="44"/>
        <v>200</v>
      </c>
      <c r="N182" s="61" t="s">
        <v>432</v>
      </c>
      <c r="O182" s="56">
        <v>123</v>
      </c>
      <c r="P182" s="56">
        <f t="shared" si="33"/>
        <v>123</v>
      </c>
      <c r="Q182" s="56">
        <v>6.6</v>
      </c>
      <c r="R182" s="56">
        <f t="shared" si="46"/>
        <v>6.6</v>
      </c>
      <c r="S182" s="56">
        <v>9.4</v>
      </c>
      <c r="T182" s="56">
        <f t="shared" si="42"/>
        <v>9.4</v>
      </c>
      <c r="U182" s="59">
        <v>6.6</v>
      </c>
      <c r="V182" s="56">
        <f t="shared" si="35"/>
        <v>6.6</v>
      </c>
      <c r="W182" s="50">
        <v>0</v>
      </c>
      <c r="X182" s="50">
        <f t="shared" si="36"/>
        <v>0</v>
      </c>
      <c r="Y182" s="50">
        <v>238</v>
      </c>
      <c r="Z182" s="50">
        <f t="shared" si="43"/>
        <v>238</v>
      </c>
      <c r="AA182" s="50">
        <v>0.2</v>
      </c>
      <c r="AB182" s="50">
        <f t="shared" si="41"/>
        <v>0.2</v>
      </c>
      <c r="AC182" s="50">
        <v>98</v>
      </c>
      <c r="AD182" s="50">
        <f t="shared" si="37"/>
        <v>98</v>
      </c>
    </row>
    <row r="183" spans="1:30" ht="15.75" customHeight="1" x14ac:dyDescent="0.2">
      <c r="A183" s="56">
        <v>7</v>
      </c>
      <c r="B183" s="56" t="s">
        <v>193</v>
      </c>
      <c r="C183" s="56" t="s">
        <v>159</v>
      </c>
      <c r="D183" s="60" t="s">
        <v>44</v>
      </c>
      <c r="E183" s="58" t="s">
        <v>408</v>
      </c>
      <c r="F183" s="56" t="s">
        <v>50</v>
      </c>
      <c r="G183" s="56">
        <v>1</v>
      </c>
      <c r="H183" s="56" t="s">
        <v>56</v>
      </c>
      <c r="I183" s="69">
        <v>130</v>
      </c>
      <c r="J183" s="69">
        <v>1</v>
      </c>
      <c r="K183" s="69"/>
      <c r="L183" s="69">
        <f t="shared" si="45"/>
        <v>1</v>
      </c>
      <c r="M183" s="69">
        <f t="shared" si="44"/>
        <v>130</v>
      </c>
      <c r="N183" s="61"/>
      <c r="O183" s="56">
        <v>151</v>
      </c>
      <c r="P183" s="56">
        <f t="shared" si="33"/>
        <v>151</v>
      </c>
      <c r="Q183" s="56">
        <v>10.7</v>
      </c>
      <c r="R183" s="56">
        <f t="shared" si="46"/>
        <v>10.7</v>
      </c>
      <c r="S183" s="56">
        <v>24.3</v>
      </c>
      <c r="T183" s="56">
        <f t="shared" si="42"/>
        <v>24.3</v>
      </c>
      <c r="U183" s="59">
        <v>1.2</v>
      </c>
      <c r="V183" s="56">
        <f t="shared" si="35"/>
        <v>1.2</v>
      </c>
      <c r="W183" s="50">
        <v>9.4</v>
      </c>
      <c r="X183" s="50">
        <f t="shared" si="36"/>
        <v>9.4</v>
      </c>
      <c r="Y183" s="50">
        <v>24</v>
      </c>
      <c r="Z183" s="50">
        <f t="shared" si="43"/>
        <v>24</v>
      </c>
      <c r="AA183" s="50">
        <v>3.9</v>
      </c>
      <c r="AB183" s="50">
        <f t="shared" si="41"/>
        <v>3.9</v>
      </c>
      <c r="AC183" s="50">
        <v>4</v>
      </c>
      <c r="AD183" s="50">
        <f t="shared" si="37"/>
        <v>4</v>
      </c>
    </row>
    <row r="184" spans="1:30" ht="15.75" customHeight="1" x14ac:dyDescent="0.2">
      <c r="A184" s="56">
        <v>7</v>
      </c>
      <c r="B184" s="56" t="s">
        <v>193</v>
      </c>
      <c r="C184" s="56" t="s">
        <v>159</v>
      </c>
      <c r="D184" s="58" t="s">
        <v>17</v>
      </c>
      <c r="E184" s="58" t="s">
        <v>18</v>
      </c>
      <c r="F184" s="56" t="s">
        <v>104</v>
      </c>
      <c r="G184" s="56">
        <v>1</v>
      </c>
      <c r="H184" s="56" t="s">
        <v>46</v>
      </c>
      <c r="I184" s="69">
        <v>112</v>
      </c>
      <c r="J184" s="69">
        <v>0.5</v>
      </c>
      <c r="K184" s="69"/>
      <c r="L184" s="69">
        <f t="shared" si="45"/>
        <v>0.5</v>
      </c>
      <c r="M184" s="69">
        <f t="shared" si="44"/>
        <v>56</v>
      </c>
      <c r="N184" s="61" t="s">
        <v>335</v>
      </c>
      <c r="O184" s="56">
        <v>81</v>
      </c>
      <c r="P184" s="56">
        <f t="shared" si="33"/>
        <v>40.5</v>
      </c>
      <c r="Q184" s="56">
        <v>0.6</v>
      </c>
      <c r="R184" s="56">
        <f t="shared" si="46"/>
        <v>0.3</v>
      </c>
      <c r="S184" s="56">
        <v>19</v>
      </c>
      <c r="T184" s="56">
        <v>19</v>
      </c>
      <c r="U184" s="59">
        <v>0.3</v>
      </c>
      <c r="V184" s="56">
        <f t="shared" si="35"/>
        <v>0.15</v>
      </c>
      <c r="W184" s="50">
        <v>2</v>
      </c>
      <c r="X184" s="50">
        <f t="shared" si="36"/>
        <v>1</v>
      </c>
      <c r="Y184" s="50">
        <v>11</v>
      </c>
      <c r="Z184" s="50">
        <f t="shared" si="43"/>
        <v>5.5</v>
      </c>
      <c r="AA184" s="50">
        <v>0.1</v>
      </c>
      <c r="AB184" s="50">
        <f t="shared" si="41"/>
        <v>0.05</v>
      </c>
      <c r="AC184" s="50">
        <v>2</v>
      </c>
      <c r="AD184" s="50">
        <f t="shared" si="37"/>
        <v>1</v>
      </c>
    </row>
    <row r="185" spans="1:30" ht="15.75" customHeight="1" x14ac:dyDescent="0.2">
      <c r="A185" s="56">
        <v>7</v>
      </c>
      <c r="B185" s="56" t="s">
        <v>193</v>
      </c>
      <c r="C185" s="56" t="s">
        <v>159</v>
      </c>
      <c r="D185" s="60" t="s">
        <v>97</v>
      </c>
      <c r="E185" s="58" t="s">
        <v>18</v>
      </c>
      <c r="F185" s="56" t="s">
        <v>119</v>
      </c>
      <c r="G185" s="56">
        <v>1</v>
      </c>
      <c r="H185" s="56" t="s">
        <v>71</v>
      </c>
      <c r="I185" s="56">
        <v>112</v>
      </c>
      <c r="J185" s="69">
        <v>1</v>
      </c>
      <c r="K185" s="69"/>
      <c r="L185" s="69">
        <f t="shared" si="45"/>
        <v>1</v>
      </c>
      <c r="M185" s="69">
        <f t="shared" si="44"/>
        <v>112</v>
      </c>
      <c r="N185" s="61"/>
      <c r="O185" s="56">
        <v>73</v>
      </c>
      <c r="P185" s="56">
        <f t="shared" si="33"/>
        <v>73</v>
      </c>
      <c r="Q185" s="56">
        <v>0.2</v>
      </c>
      <c r="R185" s="56">
        <f t="shared" si="46"/>
        <v>0.2</v>
      </c>
      <c r="S185" s="56">
        <v>17.100000000000001</v>
      </c>
      <c r="T185" s="56">
        <f t="shared" ref="T185:T226" si="47">(S185*M185)/I185</f>
        <v>17.100000000000001</v>
      </c>
      <c r="U185" s="59">
        <v>0.4</v>
      </c>
      <c r="V185" s="56">
        <f t="shared" si="35"/>
        <v>0.4</v>
      </c>
      <c r="W185" s="50">
        <v>3</v>
      </c>
      <c r="X185" s="50">
        <f t="shared" si="36"/>
        <v>3</v>
      </c>
      <c r="Y185" s="50">
        <v>8</v>
      </c>
      <c r="Z185" s="50">
        <f t="shared" si="43"/>
        <v>8</v>
      </c>
      <c r="AA185" s="50">
        <v>0.2</v>
      </c>
      <c r="AB185" s="50">
        <f t="shared" si="41"/>
        <v>0.2</v>
      </c>
      <c r="AC185" s="50">
        <v>0</v>
      </c>
      <c r="AD185" s="50">
        <f t="shared" si="37"/>
        <v>0</v>
      </c>
    </row>
    <row r="186" spans="1:30" ht="15.75" customHeight="1" x14ac:dyDescent="0.2">
      <c r="A186" s="56">
        <v>7</v>
      </c>
      <c r="B186" s="56" t="s">
        <v>193</v>
      </c>
      <c r="C186" s="56" t="s">
        <v>159</v>
      </c>
      <c r="D186" s="60" t="s">
        <v>264</v>
      </c>
      <c r="E186" s="60" t="s">
        <v>410</v>
      </c>
      <c r="F186" s="56" t="s">
        <v>359</v>
      </c>
      <c r="G186" s="56">
        <v>1</v>
      </c>
      <c r="H186" s="56" t="s">
        <v>71</v>
      </c>
      <c r="I186" s="56">
        <v>28</v>
      </c>
      <c r="J186" s="56">
        <v>1</v>
      </c>
      <c r="K186" s="69"/>
      <c r="L186" s="69">
        <f t="shared" si="45"/>
        <v>1</v>
      </c>
      <c r="M186" s="69">
        <f t="shared" si="44"/>
        <v>28</v>
      </c>
      <c r="N186" s="61"/>
      <c r="O186" s="56">
        <v>81</v>
      </c>
      <c r="P186" s="56">
        <f t="shared" si="33"/>
        <v>81</v>
      </c>
      <c r="Q186" s="56">
        <v>2.9</v>
      </c>
      <c r="R186" s="56">
        <f t="shared" si="46"/>
        <v>2.9</v>
      </c>
      <c r="S186" s="56">
        <v>12.8</v>
      </c>
      <c r="T186" s="56">
        <f t="shared" si="47"/>
        <v>12.8</v>
      </c>
      <c r="U186" s="59">
        <v>2</v>
      </c>
      <c r="V186" s="56">
        <f t="shared" si="35"/>
        <v>2</v>
      </c>
      <c r="W186" s="50">
        <v>0.6</v>
      </c>
      <c r="X186" s="50">
        <f t="shared" si="36"/>
        <v>0.6</v>
      </c>
      <c r="Y186" s="50">
        <v>60</v>
      </c>
      <c r="Z186" s="50">
        <f t="shared" si="43"/>
        <v>60</v>
      </c>
      <c r="AA186" s="50">
        <v>0.6</v>
      </c>
      <c r="AB186" s="50">
        <f t="shared" si="41"/>
        <v>0.6</v>
      </c>
      <c r="AC186" s="50">
        <v>184</v>
      </c>
      <c r="AD186" s="50">
        <f t="shared" si="37"/>
        <v>184</v>
      </c>
    </row>
    <row r="187" spans="1:30" ht="15.75" customHeight="1" x14ac:dyDescent="0.2">
      <c r="A187" s="56">
        <v>7</v>
      </c>
      <c r="B187" s="56" t="s">
        <v>193</v>
      </c>
      <c r="C187" s="56" t="s">
        <v>159</v>
      </c>
      <c r="D187" s="60" t="s">
        <v>44</v>
      </c>
      <c r="E187" s="60" t="s">
        <v>410</v>
      </c>
      <c r="F187" s="56" t="s">
        <v>336</v>
      </c>
      <c r="G187" s="56">
        <v>1</v>
      </c>
      <c r="H187" s="56" t="s">
        <v>71</v>
      </c>
      <c r="I187" s="69">
        <v>70</v>
      </c>
      <c r="J187" s="69">
        <v>2</v>
      </c>
      <c r="K187" s="69"/>
      <c r="L187" s="69">
        <f t="shared" si="45"/>
        <v>2</v>
      </c>
      <c r="M187" s="69">
        <f t="shared" si="44"/>
        <v>140</v>
      </c>
      <c r="N187" s="76" t="s">
        <v>337</v>
      </c>
      <c r="O187" s="56">
        <v>73</v>
      </c>
      <c r="P187" s="56">
        <f t="shared" si="33"/>
        <v>146</v>
      </c>
      <c r="Q187" s="56">
        <v>1.4</v>
      </c>
      <c r="R187" s="56">
        <f t="shared" si="46"/>
        <v>2.8</v>
      </c>
      <c r="S187" s="56">
        <v>16.600000000000001</v>
      </c>
      <c r="T187" s="56">
        <f t="shared" si="47"/>
        <v>33.200000000000003</v>
      </c>
      <c r="U187" s="59">
        <v>0.1</v>
      </c>
      <c r="V187" s="56">
        <f t="shared" si="35"/>
        <v>0.2</v>
      </c>
      <c r="W187" s="50">
        <v>1.5</v>
      </c>
      <c r="X187" s="50">
        <f t="shared" si="36"/>
        <v>3</v>
      </c>
      <c r="Y187" s="50">
        <v>7</v>
      </c>
      <c r="Z187" s="50">
        <f t="shared" si="43"/>
        <v>14</v>
      </c>
      <c r="AA187" s="50">
        <v>0.2</v>
      </c>
      <c r="AB187" s="50">
        <f t="shared" si="41"/>
        <v>0.4</v>
      </c>
      <c r="AC187" s="50">
        <v>4</v>
      </c>
      <c r="AD187" s="50">
        <f t="shared" si="37"/>
        <v>8</v>
      </c>
    </row>
    <row r="188" spans="1:30" ht="15.75" customHeight="1" x14ac:dyDescent="0.2">
      <c r="A188" s="56">
        <v>7</v>
      </c>
      <c r="B188" s="56" t="s">
        <v>193</v>
      </c>
      <c r="C188" s="56" t="s">
        <v>159</v>
      </c>
      <c r="D188" s="58" t="s">
        <v>17</v>
      </c>
      <c r="E188" s="58" t="s">
        <v>18</v>
      </c>
      <c r="F188" s="56" t="s">
        <v>334</v>
      </c>
      <c r="G188" s="56">
        <v>0.5</v>
      </c>
      <c r="H188" s="56" t="s">
        <v>53</v>
      </c>
      <c r="I188" s="69">
        <v>308</v>
      </c>
      <c r="J188" s="69">
        <v>0.5</v>
      </c>
      <c r="K188" s="69"/>
      <c r="L188" s="69">
        <f t="shared" si="45"/>
        <v>0.5</v>
      </c>
      <c r="M188" s="69">
        <f t="shared" si="44"/>
        <v>154</v>
      </c>
      <c r="N188" s="61"/>
      <c r="O188" s="56">
        <v>59</v>
      </c>
      <c r="P188" s="56">
        <f t="shared" si="33"/>
        <v>29.5</v>
      </c>
      <c r="Q188" s="56">
        <v>2.2000000000000002</v>
      </c>
      <c r="R188" s="56">
        <f t="shared" si="46"/>
        <v>1.1000000000000001</v>
      </c>
      <c r="S188" s="56">
        <v>12</v>
      </c>
      <c r="T188" s="56">
        <f t="shared" si="47"/>
        <v>6</v>
      </c>
      <c r="U188" s="59">
        <v>0.3</v>
      </c>
      <c r="V188" s="56">
        <f t="shared" si="35"/>
        <v>0.15</v>
      </c>
      <c r="W188" s="50">
        <v>5.5</v>
      </c>
      <c r="X188" s="50">
        <f t="shared" si="36"/>
        <v>2.75</v>
      </c>
      <c r="Y188" s="50">
        <v>31</v>
      </c>
      <c r="Z188" s="50">
        <f t="shared" si="43"/>
        <v>15.5</v>
      </c>
      <c r="AA188" s="50">
        <v>0.9</v>
      </c>
      <c r="AB188" s="50">
        <f t="shared" si="41"/>
        <v>0.44999999999999996</v>
      </c>
      <c r="AC188" s="50">
        <v>9</v>
      </c>
      <c r="AD188" s="50">
        <f t="shared" si="37"/>
        <v>4.5</v>
      </c>
    </row>
    <row r="189" spans="1:30" ht="15.75" customHeight="1" x14ac:dyDescent="0.2">
      <c r="A189" s="56">
        <v>7</v>
      </c>
      <c r="B189" s="56" t="s">
        <v>193</v>
      </c>
      <c r="C189" s="56" t="s">
        <v>159</v>
      </c>
      <c r="D189" s="60" t="s">
        <v>74</v>
      </c>
      <c r="E189" s="58" t="s">
        <v>36</v>
      </c>
      <c r="F189" s="56" t="s">
        <v>45</v>
      </c>
      <c r="G189" s="56">
        <v>0.25</v>
      </c>
      <c r="H189" s="56" t="s">
        <v>20</v>
      </c>
      <c r="I189" s="69">
        <v>80</v>
      </c>
      <c r="J189" s="69">
        <v>1</v>
      </c>
      <c r="K189" s="69"/>
      <c r="L189" s="69">
        <f t="shared" si="45"/>
        <v>1</v>
      </c>
      <c r="M189" s="69">
        <f t="shared" si="44"/>
        <v>80</v>
      </c>
      <c r="N189" s="61"/>
      <c r="O189" s="56">
        <v>83</v>
      </c>
      <c r="P189" s="56">
        <f t="shared" si="33"/>
        <v>83</v>
      </c>
      <c r="Q189" s="56">
        <v>18.5</v>
      </c>
      <c r="R189" s="56">
        <f t="shared" si="46"/>
        <v>18.5</v>
      </c>
      <c r="S189" s="56">
        <v>0</v>
      </c>
      <c r="T189" s="56">
        <f t="shared" si="47"/>
        <v>0</v>
      </c>
      <c r="U189" s="59">
        <v>1</v>
      </c>
      <c r="V189" s="56">
        <f t="shared" si="35"/>
        <v>1</v>
      </c>
      <c r="W189" s="50">
        <v>0</v>
      </c>
      <c r="X189" s="50">
        <f t="shared" si="36"/>
        <v>0</v>
      </c>
      <c r="Y189" s="50">
        <v>9</v>
      </c>
      <c r="Z189" s="50">
        <f t="shared" si="43"/>
        <v>9</v>
      </c>
      <c r="AA189" s="50">
        <v>0.6</v>
      </c>
      <c r="AB189" s="50">
        <f t="shared" si="41"/>
        <v>0.6</v>
      </c>
      <c r="AC189" s="50">
        <v>52</v>
      </c>
      <c r="AD189" s="50">
        <f t="shared" si="37"/>
        <v>52</v>
      </c>
    </row>
    <row r="190" spans="1:30" ht="15.75" customHeight="1" x14ac:dyDescent="0.2">
      <c r="A190" s="56">
        <v>7</v>
      </c>
      <c r="B190" s="56" t="s">
        <v>193</v>
      </c>
      <c r="C190" s="56" t="s">
        <v>159</v>
      </c>
      <c r="D190" s="60" t="s">
        <v>97</v>
      </c>
      <c r="E190" s="58" t="s">
        <v>18</v>
      </c>
      <c r="F190" s="56" t="s">
        <v>354</v>
      </c>
      <c r="G190" s="56">
        <v>0.5</v>
      </c>
      <c r="H190" s="56" t="s">
        <v>29</v>
      </c>
      <c r="I190" s="69">
        <v>85</v>
      </c>
      <c r="J190" s="69">
        <v>2</v>
      </c>
      <c r="K190" s="69"/>
      <c r="L190" s="69">
        <f t="shared" si="45"/>
        <v>2</v>
      </c>
      <c r="M190" s="82">
        <f t="shared" si="44"/>
        <v>170</v>
      </c>
      <c r="N190" s="61"/>
      <c r="O190" s="56">
        <v>56</v>
      </c>
      <c r="P190" s="56">
        <f t="shared" si="33"/>
        <v>112</v>
      </c>
      <c r="Q190" s="56">
        <v>0.3</v>
      </c>
      <c r="R190" s="56">
        <f t="shared" si="46"/>
        <v>0.6</v>
      </c>
      <c r="S190" s="56">
        <v>12.8</v>
      </c>
      <c r="T190" s="56">
        <f t="shared" si="47"/>
        <v>25.6</v>
      </c>
      <c r="U190" s="59">
        <v>0.3</v>
      </c>
      <c r="V190" s="56">
        <f t="shared" si="35"/>
        <v>0.6</v>
      </c>
      <c r="W190" s="50">
        <v>2</v>
      </c>
      <c r="X190" s="50">
        <f t="shared" si="36"/>
        <v>4</v>
      </c>
      <c r="Y190" s="50">
        <v>9</v>
      </c>
      <c r="Z190" s="50">
        <f t="shared" si="43"/>
        <v>18</v>
      </c>
      <c r="AA190" s="50">
        <v>0.3</v>
      </c>
      <c r="AB190" s="50">
        <f t="shared" si="41"/>
        <v>0.6</v>
      </c>
      <c r="AC190" s="50">
        <v>0</v>
      </c>
      <c r="AD190" s="50">
        <f t="shared" si="37"/>
        <v>0</v>
      </c>
    </row>
    <row r="191" spans="1:30" ht="15.75" customHeight="1" x14ac:dyDescent="0.2">
      <c r="A191" s="56">
        <v>7</v>
      </c>
      <c r="B191" s="56" t="s">
        <v>193</v>
      </c>
      <c r="C191" s="56" t="s">
        <v>159</v>
      </c>
      <c r="D191" s="60" t="s">
        <v>44</v>
      </c>
      <c r="E191" s="60" t="s">
        <v>410</v>
      </c>
      <c r="F191" s="56" t="s">
        <v>341</v>
      </c>
      <c r="G191" s="56">
        <v>0.25</v>
      </c>
      <c r="H191" s="56" t="s">
        <v>20</v>
      </c>
      <c r="I191" s="69">
        <v>66</v>
      </c>
      <c r="J191" s="69">
        <v>1</v>
      </c>
      <c r="K191" s="69"/>
      <c r="L191" s="61">
        <f t="shared" si="45"/>
        <v>1</v>
      </c>
      <c r="M191" s="13">
        <f t="shared" si="44"/>
        <v>66</v>
      </c>
      <c r="N191" s="80"/>
      <c r="O191" s="56">
        <v>101</v>
      </c>
      <c r="P191" s="56">
        <f t="shared" si="33"/>
        <v>101</v>
      </c>
      <c r="Q191" s="56">
        <v>0.7</v>
      </c>
      <c r="R191" s="56">
        <f t="shared" si="46"/>
        <v>0.7</v>
      </c>
      <c r="S191" s="56">
        <v>24</v>
      </c>
      <c r="T191" s="56">
        <f t="shared" si="47"/>
        <v>24</v>
      </c>
      <c r="U191" s="59">
        <v>0.3</v>
      </c>
      <c r="V191" s="56">
        <f t="shared" si="35"/>
        <v>0.3</v>
      </c>
      <c r="W191" s="50">
        <v>1.5</v>
      </c>
      <c r="X191" s="50">
        <f t="shared" si="36"/>
        <v>1.5</v>
      </c>
      <c r="Y191" s="50">
        <v>3</v>
      </c>
      <c r="Z191" s="50">
        <f t="shared" si="43"/>
        <v>3</v>
      </c>
      <c r="AA191" s="50">
        <v>0.3</v>
      </c>
      <c r="AB191" s="50">
        <f t="shared" si="41"/>
        <v>0.3</v>
      </c>
      <c r="AC191" s="50">
        <v>3</v>
      </c>
      <c r="AD191" s="50">
        <f t="shared" si="37"/>
        <v>3</v>
      </c>
    </row>
    <row r="192" spans="1:30" ht="15.75" customHeight="1" x14ac:dyDescent="0.2">
      <c r="A192" s="56">
        <v>7</v>
      </c>
      <c r="B192" s="56" t="s">
        <v>193</v>
      </c>
      <c r="C192" s="56" t="s">
        <v>159</v>
      </c>
      <c r="D192" s="58" t="s">
        <v>17</v>
      </c>
      <c r="E192" s="58" t="s">
        <v>406</v>
      </c>
      <c r="F192" s="56" t="s">
        <v>240</v>
      </c>
      <c r="G192" s="56">
        <v>1</v>
      </c>
      <c r="H192" s="56" t="s">
        <v>310</v>
      </c>
      <c r="I192" s="69">
        <v>30</v>
      </c>
      <c r="J192" s="69">
        <v>1</v>
      </c>
      <c r="K192" s="69"/>
      <c r="L192" s="61">
        <f t="shared" si="45"/>
        <v>1</v>
      </c>
      <c r="M192" s="13">
        <f t="shared" si="44"/>
        <v>30</v>
      </c>
      <c r="N192" s="80"/>
      <c r="O192" s="56">
        <v>83</v>
      </c>
      <c r="P192" s="56">
        <f t="shared" si="33"/>
        <v>83</v>
      </c>
      <c r="Q192" s="56">
        <v>6.5</v>
      </c>
      <c r="R192" s="56">
        <f t="shared" si="46"/>
        <v>6.5</v>
      </c>
      <c r="S192" s="56">
        <v>1.5</v>
      </c>
      <c r="T192" s="56">
        <f t="shared" si="47"/>
        <v>1.5</v>
      </c>
      <c r="U192" s="59">
        <v>5.7</v>
      </c>
      <c r="V192" s="56">
        <f t="shared" si="35"/>
        <v>5.7</v>
      </c>
      <c r="W192" s="50">
        <v>0</v>
      </c>
      <c r="X192" s="50">
        <f t="shared" si="36"/>
        <v>0</v>
      </c>
      <c r="Y192" s="50">
        <v>207</v>
      </c>
      <c r="Z192" s="50">
        <f t="shared" si="43"/>
        <v>207</v>
      </c>
      <c r="AA192" s="50">
        <v>0.2</v>
      </c>
      <c r="AB192" s="50">
        <f t="shared" ref="AB192:AB223" si="48">(AA192*M192)/I192</f>
        <v>0.2</v>
      </c>
      <c r="AC192" s="50">
        <v>112</v>
      </c>
      <c r="AD192" s="50">
        <f t="shared" si="37"/>
        <v>112</v>
      </c>
    </row>
    <row r="193" spans="1:30" ht="15.75" customHeight="1" x14ac:dyDescent="0.2">
      <c r="A193" s="56">
        <v>7</v>
      </c>
      <c r="B193" s="56" t="s">
        <v>193</v>
      </c>
      <c r="C193" s="56" t="s">
        <v>159</v>
      </c>
      <c r="D193" s="60" t="s">
        <v>264</v>
      </c>
      <c r="E193" s="58" t="s">
        <v>406</v>
      </c>
      <c r="F193" s="56" t="s">
        <v>240</v>
      </c>
      <c r="G193" s="56">
        <v>1</v>
      </c>
      <c r="H193" s="56" t="s">
        <v>310</v>
      </c>
      <c r="I193" s="69">
        <v>20</v>
      </c>
      <c r="J193" s="69">
        <v>1</v>
      </c>
      <c r="K193" s="69"/>
      <c r="L193" s="61">
        <f t="shared" si="45"/>
        <v>1</v>
      </c>
      <c r="M193" s="13">
        <f t="shared" si="44"/>
        <v>20</v>
      </c>
      <c r="N193" s="80"/>
      <c r="O193" s="56">
        <v>83</v>
      </c>
      <c r="P193" s="56">
        <f t="shared" si="33"/>
        <v>83</v>
      </c>
      <c r="Q193" s="56">
        <v>6.5</v>
      </c>
      <c r="R193" s="56">
        <f t="shared" si="46"/>
        <v>6.5</v>
      </c>
      <c r="S193" s="56">
        <v>1.5</v>
      </c>
      <c r="T193" s="56">
        <f t="shared" si="47"/>
        <v>1.5</v>
      </c>
      <c r="U193" s="59">
        <v>5.7</v>
      </c>
      <c r="V193" s="56">
        <f t="shared" si="35"/>
        <v>5.7</v>
      </c>
      <c r="W193" s="50">
        <v>0</v>
      </c>
      <c r="X193" s="50">
        <f t="shared" si="36"/>
        <v>0</v>
      </c>
      <c r="Y193" s="50">
        <v>207</v>
      </c>
      <c r="Z193" s="50">
        <f t="shared" si="43"/>
        <v>207</v>
      </c>
      <c r="AA193" s="50">
        <v>0.2</v>
      </c>
      <c r="AB193" s="50">
        <f t="shared" si="48"/>
        <v>0.2</v>
      </c>
      <c r="AC193" s="50">
        <v>112</v>
      </c>
      <c r="AD193" s="50">
        <f t="shared" si="37"/>
        <v>112</v>
      </c>
    </row>
    <row r="194" spans="1:30" ht="15.75" customHeight="1" x14ac:dyDescent="0.2">
      <c r="A194" s="56">
        <v>7</v>
      </c>
      <c r="B194" s="56" t="s">
        <v>193</v>
      </c>
      <c r="C194" s="56" t="s">
        <v>159</v>
      </c>
      <c r="D194" s="58" t="s">
        <v>17</v>
      </c>
      <c r="E194" s="60" t="s">
        <v>410</v>
      </c>
      <c r="F194" s="56" t="s">
        <v>332</v>
      </c>
      <c r="G194" s="56">
        <v>1</v>
      </c>
      <c r="H194" s="56" t="s">
        <v>53</v>
      </c>
      <c r="I194" s="69">
        <v>32</v>
      </c>
      <c r="J194" s="69">
        <v>1</v>
      </c>
      <c r="K194" s="69"/>
      <c r="L194" s="61">
        <f t="shared" si="45"/>
        <v>1</v>
      </c>
      <c r="M194" s="13">
        <f t="shared" si="44"/>
        <v>32</v>
      </c>
      <c r="N194" s="80" t="s">
        <v>333</v>
      </c>
      <c r="O194" s="56">
        <v>93</v>
      </c>
      <c r="P194" s="56">
        <f t="shared" ref="P194:P226" si="49">(O194*M194)/I194</f>
        <v>93</v>
      </c>
      <c r="Q194" s="56">
        <v>2.9</v>
      </c>
      <c r="R194" s="56">
        <f t="shared" si="46"/>
        <v>2.9</v>
      </c>
      <c r="S194" s="56">
        <v>17.399999999999999</v>
      </c>
      <c r="T194" s="56">
        <f t="shared" si="47"/>
        <v>17.399999999999999</v>
      </c>
      <c r="U194" s="59">
        <v>1.3</v>
      </c>
      <c r="V194" s="56">
        <f t="shared" ref="V194:V226" si="50">(U194*M194)/I194</f>
        <v>1.3</v>
      </c>
      <c r="W194" s="50">
        <v>0.8</v>
      </c>
      <c r="X194" s="50">
        <f t="shared" ref="X194:X226" si="51">(W194*M194)/I194</f>
        <v>0.8</v>
      </c>
      <c r="Y194" s="50">
        <v>38</v>
      </c>
      <c r="Z194" s="50">
        <f t="shared" si="43"/>
        <v>38</v>
      </c>
      <c r="AA194" s="50">
        <v>1.1000000000000001</v>
      </c>
      <c r="AB194" s="50">
        <f t="shared" si="48"/>
        <v>1.1000000000000001</v>
      </c>
      <c r="AC194" s="50">
        <v>189</v>
      </c>
      <c r="AD194" s="50">
        <f t="shared" ref="AD194:AD243" si="52">(AC194*M194)/I194</f>
        <v>189</v>
      </c>
    </row>
    <row r="195" spans="1:30" ht="15.75" customHeight="1" x14ac:dyDescent="0.2">
      <c r="A195" s="56">
        <v>7</v>
      </c>
      <c r="B195" s="56" t="s">
        <v>193</v>
      </c>
      <c r="C195" s="56" t="s">
        <v>159</v>
      </c>
      <c r="D195" s="57" t="s">
        <v>236</v>
      </c>
      <c r="E195" s="60" t="s">
        <v>410</v>
      </c>
      <c r="F195" s="56" t="s">
        <v>356</v>
      </c>
      <c r="G195" s="56">
        <v>0.3</v>
      </c>
      <c r="H195" s="56" t="s">
        <v>230</v>
      </c>
      <c r="I195" s="69">
        <v>22</v>
      </c>
      <c r="J195" s="69">
        <v>1</v>
      </c>
      <c r="K195" s="69"/>
      <c r="L195" s="61">
        <f t="shared" si="45"/>
        <v>1</v>
      </c>
      <c r="M195" s="13">
        <f t="shared" si="44"/>
        <v>22</v>
      </c>
      <c r="N195" s="80" t="s">
        <v>357</v>
      </c>
      <c r="O195" s="56">
        <v>96</v>
      </c>
      <c r="P195" s="56">
        <f t="shared" si="49"/>
        <v>96</v>
      </c>
      <c r="Q195" s="56">
        <v>1.3</v>
      </c>
      <c r="R195" s="56">
        <f t="shared" si="46"/>
        <v>1.3</v>
      </c>
      <c r="S195" s="56">
        <v>22.6</v>
      </c>
      <c r="T195" s="56">
        <f t="shared" si="47"/>
        <v>22.6</v>
      </c>
      <c r="U195" s="59">
        <v>0.1</v>
      </c>
      <c r="V195" s="56">
        <f t="shared" si="50"/>
        <v>0.1</v>
      </c>
      <c r="W195" s="50">
        <v>0</v>
      </c>
      <c r="X195" s="50">
        <f t="shared" si="51"/>
        <v>0</v>
      </c>
      <c r="Y195" s="50">
        <v>1</v>
      </c>
      <c r="Z195" s="50">
        <f t="shared" si="43"/>
        <v>1</v>
      </c>
      <c r="AA195" s="50">
        <v>1.6</v>
      </c>
      <c r="AB195" s="50">
        <f t="shared" si="48"/>
        <v>1.6</v>
      </c>
      <c r="AC195" s="50">
        <v>91</v>
      </c>
      <c r="AD195" s="50">
        <f t="shared" si="52"/>
        <v>91</v>
      </c>
    </row>
    <row r="196" spans="1:30" ht="15.75" customHeight="1" x14ac:dyDescent="0.2">
      <c r="A196" s="56">
        <v>7</v>
      </c>
      <c r="B196" s="56" t="s">
        <v>193</v>
      </c>
      <c r="C196" s="56" t="s">
        <v>159</v>
      </c>
      <c r="D196" s="60" t="s">
        <v>44</v>
      </c>
      <c r="E196" s="58" t="s">
        <v>428</v>
      </c>
      <c r="F196" s="56" t="s">
        <v>220</v>
      </c>
      <c r="G196" s="56">
        <v>1</v>
      </c>
      <c r="H196" s="56" t="s">
        <v>34</v>
      </c>
      <c r="I196" s="69">
        <v>100</v>
      </c>
      <c r="J196" s="69">
        <v>0.1</v>
      </c>
      <c r="K196" s="69"/>
      <c r="L196" s="61">
        <f t="shared" si="45"/>
        <v>0.1</v>
      </c>
      <c r="M196" s="13">
        <f t="shared" si="44"/>
        <v>10</v>
      </c>
      <c r="N196" s="80" t="s">
        <v>344</v>
      </c>
      <c r="O196" s="56"/>
      <c r="P196" s="56">
        <f t="shared" si="49"/>
        <v>0</v>
      </c>
      <c r="Q196" s="56"/>
      <c r="R196" s="56">
        <f t="shared" si="46"/>
        <v>0</v>
      </c>
      <c r="S196" s="56"/>
      <c r="T196" s="56">
        <f t="shared" si="47"/>
        <v>0</v>
      </c>
      <c r="U196" s="59"/>
      <c r="V196" s="56">
        <f t="shared" si="50"/>
        <v>0</v>
      </c>
      <c r="W196" s="50"/>
      <c r="X196" s="50">
        <f t="shared" si="51"/>
        <v>0</v>
      </c>
      <c r="Y196" s="50"/>
      <c r="Z196" s="50">
        <f t="shared" ref="Z196:Z226" si="53">(Y196*M196)/I196</f>
        <v>0</v>
      </c>
      <c r="AA196" s="50"/>
      <c r="AB196" s="50">
        <f t="shared" si="48"/>
        <v>0</v>
      </c>
      <c r="AC196" s="50"/>
      <c r="AD196" s="50">
        <f t="shared" si="52"/>
        <v>0</v>
      </c>
    </row>
    <row r="197" spans="1:30" ht="15.75" customHeight="1" x14ac:dyDescent="0.2">
      <c r="A197" s="56">
        <v>8</v>
      </c>
      <c r="B197" s="56" t="s">
        <v>193</v>
      </c>
      <c r="C197" s="56" t="s">
        <v>167</v>
      </c>
      <c r="D197" s="58" t="s">
        <v>17</v>
      </c>
      <c r="E197" s="60" t="s">
        <v>424</v>
      </c>
      <c r="F197" s="56" t="s">
        <v>21</v>
      </c>
      <c r="G197" s="56">
        <v>1</v>
      </c>
      <c r="H197" s="56" t="s">
        <v>262</v>
      </c>
      <c r="I197" s="56"/>
      <c r="J197" s="56"/>
      <c r="K197" s="56"/>
      <c r="L197" s="61">
        <f t="shared" si="45"/>
        <v>0</v>
      </c>
      <c r="M197" s="24">
        <f t="shared" ref="M197:M222" si="54">I197*L197</f>
        <v>0</v>
      </c>
      <c r="N197" s="79"/>
      <c r="O197" s="56"/>
      <c r="P197" s="56" t="e">
        <f t="shared" si="49"/>
        <v>#DIV/0!</v>
      </c>
      <c r="Q197" s="56"/>
      <c r="R197" s="56" t="e">
        <f t="shared" si="46"/>
        <v>#DIV/0!</v>
      </c>
      <c r="S197" s="56"/>
      <c r="T197" s="56" t="e">
        <f t="shared" si="47"/>
        <v>#DIV/0!</v>
      </c>
      <c r="U197" s="59"/>
      <c r="V197" s="56" t="e">
        <f t="shared" si="50"/>
        <v>#DIV/0!</v>
      </c>
      <c r="W197" s="50"/>
      <c r="X197" s="50" t="e">
        <f t="shared" si="51"/>
        <v>#DIV/0!</v>
      </c>
      <c r="Y197" s="50"/>
      <c r="Z197" s="50" t="e">
        <f t="shared" si="53"/>
        <v>#DIV/0!</v>
      </c>
      <c r="AA197" s="50"/>
      <c r="AB197" s="50" t="e">
        <f t="shared" si="48"/>
        <v>#DIV/0!</v>
      </c>
      <c r="AC197" s="50"/>
      <c r="AD197" s="50" t="e">
        <f t="shared" si="52"/>
        <v>#DIV/0!</v>
      </c>
    </row>
    <row r="198" spans="1:30" ht="15.75" customHeight="1" x14ac:dyDescent="0.2">
      <c r="A198" s="56">
        <v>8</v>
      </c>
      <c r="B198" s="56" t="s">
        <v>193</v>
      </c>
      <c r="C198" s="56" t="s">
        <v>167</v>
      </c>
      <c r="D198" s="58" t="s">
        <v>44</v>
      </c>
      <c r="E198" s="60" t="s">
        <v>424</v>
      </c>
      <c r="F198" s="56" t="s">
        <v>21</v>
      </c>
      <c r="G198" s="56">
        <v>1</v>
      </c>
      <c r="H198" s="56" t="s">
        <v>263</v>
      </c>
      <c r="I198" s="56"/>
      <c r="J198" s="56"/>
      <c r="K198" s="56"/>
      <c r="L198" s="61">
        <f t="shared" si="45"/>
        <v>0</v>
      </c>
      <c r="M198" s="24">
        <f t="shared" si="54"/>
        <v>0</v>
      </c>
      <c r="N198" s="79"/>
      <c r="O198" s="56"/>
      <c r="P198" s="56" t="e">
        <f t="shared" si="49"/>
        <v>#DIV/0!</v>
      </c>
      <c r="Q198" s="56"/>
      <c r="R198" s="56" t="e">
        <f t="shared" si="46"/>
        <v>#DIV/0!</v>
      </c>
      <c r="S198" s="56"/>
      <c r="T198" s="56" t="e">
        <f t="shared" si="47"/>
        <v>#DIV/0!</v>
      </c>
      <c r="U198" s="59"/>
      <c r="V198" s="56" t="e">
        <f t="shared" si="50"/>
        <v>#DIV/0!</v>
      </c>
      <c r="W198" s="50"/>
      <c r="X198" s="50" t="e">
        <f t="shared" si="51"/>
        <v>#DIV/0!</v>
      </c>
      <c r="Y198" s="50"/>
      <c r="Z198" s="50" t="e">
        <f t="shared" si="53"/>
        <v>#DIV/0!</v>
      </c>
      <c r="AA198" s="50"/>
      <c r="AB198" s="50" t="e">
        <f t="shared" si="48"/>
        <v>#DIV/0!</v>
      </c>
      <c r="AC198" s="50"/>
      <c r="AD198" s="50" t="e">
        <f t="shared" si="52"/>
        <v>#DIV/0!</v>
      </c>
    </row>
    <row r="199" spans="1:30" ht="15.75" customHeight="1" x14ac:dyDescent="0.2">
      <c r="A199" s="56">
        <v>8</v>
      </c>
      <c r="B199" s="56" t="s">
        <v>193</v>
      </c>
      <c r="C199" s="56" t="s">
        <v>167</v>
      </c>
      <c r="D199" s="58" t="s">
        <v>44</v>
      </c>
      <c r="E199" s="58" t="s">
        <v>23</v>
      </c>
      <c r="F199" s="56" t="s">
        <v>62</v>
      </c>
      <c r="G199" s="56">
        <v>0.125</v>
      </c>
      <c r="H199" s="56" t="s">
        <v>53</v>
      </c>
      <c r="I199" s="69">
        <v>30</v>
      </c>
      <c r="J199" s="56">
        <v>1</v>
      </c>
      <c r="K199" s="56"/>
      <c r="L199" s="61">
        <f t="shared" si="45"/>
        <v>1</v>
      </c>
      <c r="M199" s="24">
        <f t="shared" si="54"/>
        <v>30</v>
      </c>
      <c r="N199" s="79"/>
      <c r="O199" s="56">
        <v>53</v>
      </c>
      <c r="P199" s="56">
        <f t="shared" si="49"/>
        <v>53</v>
      </c>
      <c r="Q199" s="56">
        <v>0.6</v>
      </c>
      <c r="R199" s="56">
        <f t="shared" si="46"/>
        <v>0.6</v>
      </c>
      <c r="S199" s="56">
        <v>2.2000000000000002</v>
      </c>
      <c r="T199" s="56">
        <f t="shared" si="47"/>
        <v>2.2000000000000002</v>
      </c>
      <c r="U199" s="59">
        <v>4.5999999999999996</v>
      </c>
      <c r="V199" s="56">
        <f t="shared" si="50"/>
        <v>4.5999999999999996</v>
      </c>
      <c r="W199" s="50">
        <v>1.5</v>
      </c>
      <c r="X199" s="50">
        <f t="shared" si="51"/>
        <v>1.5</v>
      </c>
      <c r="Y199" s="50">
        <v>3</v>
      </c>
      <c r="Z199" s="50">
        <f t="shared" si="53"/>
        <v>3</v>
      </c>
      <c r="AA199" s="50">
        <v>0.3</v>
      </c>
      <c r="AB199" s="50">
        <f t="shared" si="48"/>
        <v>0.3</v>
      </c>
      <c r="AC199" s="50">
        <v>3</v>
      </c>
      <c r="AD199" s="50">
        <f t="shared" si="52"/>
        <v>3</v>
      </c>
    </row>
    <row r="200" spans="1:30" ht="15.75" customHeight="1" x14ac:dyDescent="0.2">
      <c r="A200" s="56">
        <v>8</v>
      </c>
      <c r="B200" s="56" t="s">
        <v>193</v>
      </c>
      <c r="C200" s="56" t="s">
        <v>167</v>
      </c>
      <c r="D200" s="58" t="s">
        <v>17</v>
      </c>
      <c r="E200" s="60" t="s">
        <v>410</v>
      </c>
      <c r="F200" s="56" t="s">
        <v>361</v>
      </c>
      <c r="G200" s="56">
        <v>1</v>
      </c>
      <c r="H200" s="56" t="s">
        <v>349</v>
      </c>
      <c r="I200" s="69">
        <v>95</v>
      </c>
      <c r="J200" s="69">
        <v>1</v>
      </c>
      <c r="K200" s="56"/>
      <c r="L200" s="61">
        <f t="shared" si="45"/>
        <v>1</v>
      </c>
      <c r="M200" s="24">
        <f t="shared" si="54"/>
        <v>95</v>
      </c>
      <c r="N200" s="80" t="s">
        <v>412</v>
      </c>
      <c r="O200" s="56">
        <v>190</v>
      </c>
      <c r="P200" s="56">
        <f t="shared" si="49"/>
        <v>190</v>
      </c>
      <c r="Q200" s="56">
        <v>7</v>
      </c>
      <c r="R200" s="56">
        <f t="shared" si="46"/>
        <v>7</v>
      </c>
      <c r="S200" s="56">
        <v>34</v>
      </c>
      <c r="T200" s="56">
        <f t="shared" si="47"/>
        <v>34</v>
      </c>
      <c r="U200" s="59">
        <v>3</v>
      </c>
      <c r="V200" s="56">
        <f t="shared" si="50"/>
        <v>3</v>
      </c>
      <c r="W200" s="50"/>
      <c r="X200" s="50">
        <f t="shared" si="51"/>
        <v>0</v>
      </c>
      <c r="Y200" s="50"/>
      <c r="Z200" s="50">
        <f t="shared" si="53"/>
        <v>0</v>
      </c>
      <c r="AA200" s="50"/>
      <c r="AB200" s="50">
        <f t="shared" si="48"/>
        <v>0</v>
      </c>
      <c r="AC200" s="50"/>
      <c r="AD200" s="50">
        <f t="shared" si="52"/>
        <v>0</v>
      </c>
    </row>
    <row r="201" spans="1:30" ht="15.75" customHeight="1" x14ac:dyDescent="0.2">
      <c r="A201" s="56">
        <v>8</v>
      </c>
      <c r="B201" s="56" t="s">
        <v>193</v>
      </c>
      <c r="C201" s="56" t="s">
        <v>167</v>
      </c>
      <c r="D201" s="58" t="s">
        <v>44</v>
      </c>
      <c r="E201" s="60" t="s">
        <v>410</v>
      </c>
      <c r="F201" s="56" t="s">
        <v>47</v>
      </c>
      <c r="G201" s="56">
        <v>6</v>
      </c>
      <c r="H201" s="56" t="s">
        <v>363</v>
      </c>
      <c r="I201" s="56">
        <v>80</v>
      </c>
      <c r="J201" s="56">
        <v>1</v>
      </c>
      <c r="K201" s="56"/>
      <c r="L201" s="61">
        <f t="shared" si="45"/>
        <v>1</v>
      </c>
      <c r="M201" s="24">
        <f t="shared" si="54"/>
        <v>80</v>
      </c>
      <c r="N201" s="79" t="s">
        <v>413</v>
      </c>
      <c r="O201" s="56">
        <v>101</v>
      </c>
      <c r="P201" s="56">
        <f t="shared" si="49"/>
        <v>101</v>
      </c>
      <c r="Q201" s="56">
        <v>1.9</v>
      </c>
      <c r="R201" s="56">
        <f t="shared" si="46"/>
        <v>1.9</v>
      </c>
      <c r="S201" s="56">
        <v>22.9</v>
      </c>
      <c r="T201" s="56">
        <f t="shared" si="47"/>
        <v>22.9</v>
      </c>
      <c r="U201" s="59">
        <v>0.2</v>
      </c>
      <c r="V201" s="56">
        <f t="shared" si="50"/>
        <v>0.2</v>
      </c>
      <c r="W201" s="50">
        <v>0.2</v>
      </c>
      <c r="X201" s="50">
        <f t="shared" si="51"/>
        <v>0.2</v>
      </c>
      <c r="Y201" s="50">
        <v>2</v>
      </c>
      <c r="Z201" s="50">
        <f t="shared" si="53"/>
        <v>2</v>
      </c>
      <c r="AA201" s="50">
        <v>0.2</v>
      </c>
      <c r="AB201" s="50">
        <f t="shared" si="48"/>
        <v>0.2</v>
      </c>
      <c r="AC201" s="50">
        <v>0</v>
      </c>
      <c r="AD201" s="50">
        <f t="shared" si="52"/>
        <v>0</v>
      </c>
    </row>
    <row r="202" spans="1:30" ht="15.75" customHeight="1" x14ac:dyDescent="0.2">
      <c r="A202" s="56">
        <v>8</v>
      </c>
      <c r="B202" s="56" t="s">
        <v>193</v>
      </c>
      <c r="C202" s="56" t="s">
        <v>167</v>
      </c>
      <c r="D202" s="58" t="s">
        <v>97</v>
      </c>
      <c r="E202" s="58" t="s">
        <v>18</v>
      </c>
      <c r="F202" s="56" t="s">
        <v>260</v>
      </c>
      <c r="G202" s="56">
        <v>1</v>
      </c>
      <c r="H202" s="56" t="s">
        <v>71</v>
      </c>
      <c r="I202" s="69">
        <v>65</v>
      </c>
      <c r="J202" s="69">
        <v>0.5</v>
      </c>
      <c r="K202" s="56"/>
      <c r="L202" s="61">
        <f t="shared" si="45"/>
        <v>0.5</v>
      </c>
      <c r="M202" s="24">
        <f t="shared" si="54"/>
        <v>32.5</v>
      </c>
      <c r="N202" s="79"/>
      <c r="O202" s="56">
        <v>66</v>
      </c>
      <c r="P202" s="56">
        <f t="shared" si="49"/>
        <v>33</v>
      </c>
      <c r="Q202" s="56">
        <v>0.7</v>
      </c>
      <c r="R202" s="56">
        <f t="shared" si="46"/>
        <v>0.35</v>
      </c>
      <c r="S202" s="56">
        <v>15.2</v>
      </c>
      <c r="T202" s="56">
        <f t="shared" si="47"/>
        <v>7.6</v>
      </c>
      <c r="U202" s="59">
        <v>0.3</v>
      </c>
      <c r="V202" s="56">
        <f t="shared" si="50"/>
        <v>0.15</v>
      </c>
      <c r="W202" s="50">
        <v>1.6</v>
      </c>
      <c r="X202" s="50">
        <f t="shared" si="51"/>
        <v>0.8</v>
      </c>
      <c r="Y202" s="50">
        <v>4</v>
      </c>
      <c r="Z202" s="50">
        <f t="shared" si="53"/>
        <v>2</v>
      </c>
      <c r="AA202" s="50">
        <v>0.2</v>
      </c>
      <c r="AB202" s="50">
        <f t="shared" si="48"/>
        <v>0.1</v>
      </c>
      <c r="AC202" s="50">
        <v>1</v>
      </c>
      <c r="AD202" s="50">
        <f t="shared" si="52"/>
        <v>0.5</v>
      </c>
    </row>
    <row r="203" spans="1:30" ht="15.75" customHeight="1" x14ac:dyDescent="0.2">
      <c r="A203" s="56">
        <v>8</v>
      </c>
      <c r="B203" s="56" t="s">
        <v>193</v>
      </c>
      <c r="C203" s="56" t="s">
        <v>167</v>
      </c>
      <c r="D203" s="58" t="s">
        <v>17</v>
      </c>
      <c r="E203" s="58" t="s">
        <v>424</v>
      </c>
      <c r="F203" s="63" t="s">
        <v>276</v>
      </c>
      <c r="G203" s="56">
        <v>1</v>
      </c>
      <c r="H203" s="56" t="s">
        <v>239</v>
      </c>
      <c r="I203" s="56"/>
      <c r="J203" s="56"/>
      <c r="K203" s="56"/>
      <c r="L203" s="61">
        <f t="shared" si="45"/>
        <v>0</v>
      </c>
      <c r="M203" s="24">
        <f t="shared" si="54"/>
        <v>0</v>
      </c>
      <c r="N203" s="79"/>
      <c r="O203" s="56">
        <v>7</v>
      </c>
      <c r="P203" s="56" t="e">
        <f t="shared" si="49"/>
        <v>#DIV/0!</v>
      </c>
      <c r="Q203" s="56">
        <v>0.3</v>
      </c>
      <c r="R203" s="56" t="e">
        <f t="shared" si="46"/>
        <v>#DIV/0!</v>
      </c>
      <c r="S203" s="56">
        <v>1.2</v>
      </c>
      <c r="T203" s="56" t="e">
        <f t="shared" si="47"/>
        <v>#DIV/0!</v>
      </c>
      <c r="U203" s="59">
        <v>0</v>
      </c>
      <c r="V203" s="56" t="e">
        <f t="shared" si="50"/>
        <v>#DIV/0!</v>
      </c>
      <c r="W203" s="50">
        <v>0</v>
      </c>
      <c r="X203" s="50" t="e">
        <f t="shared" si="51"/>
        <v>#DIV/0!</v>
      </c>
      <c r="Y203" s="50">
        <v>4</v>
      </c>
      <c r="Z203" s="50" t="e">
        <f t="shared" si="53"/>
        <v>#DIV/0!</v>
      </c>
      <c r="AA203" s="50">
        <v>0.1</v>
      </c>
      <c r="AB203" s="50" t="e">
        <f t="shared" si="48"/>
        <v>#DIV/0!</v>
      </c>
      <c r="AC203" s="50">
        <v>1</v>
      </c>
      <c r="AD203" s="50" t="e">
        <f t="shared" si="52"/>
        <v>#DIV/0!</v>
      </c>
    </row>
    <row r="204" spans="1:30" ht="15.75" customHeight="1" x14ac:dyDescent="0.2">
      <c r="A204" s="56">
        <v>8</v>
      </c>
      <c r="B204" s="56" t="s">
        <v>193</v>
      </c>
      <c r="C204" s="56" t="s">
        <v>167</v>
      </c>
      <c r="D204" s="58" t="s">
        <v>74</v>
      </c>
      <c r="E204" s="58" t="s">
        <v>424</v>
      </c>
      <c r="F204" s="56" t="s">
        <v>367</v>
      </c>
      <c r="G204" s="56">
        <v>1</v>
      </c>
      <c r="H204" s="56" t="s">
        <v>307</v>
      </c>
      <c r="I204" s="56">
        <v>8</v>
      </c>
      <c r="J204" s="56">
        <v>1</v>
      </c>
      <c r="K204" s="56"/>
      <c r="L204" s="61">
        <f t="shared" si="45"/>
        <v>1</v>
      </c>
      <c r="M204" s="24">
        <f t="shared" si="54"/>
        <v>8</v>
      </c>
      <c r="N204" s="79" t="s">
        <v>368</v>
      </c>
      <c r="O204" s="56">
        <v>52</v>
      </c>
      <c r="P204" s="56">
        <f t="shared" si="49"/>
        <v>52</v>
      </c>
      <c r="Q204" s="56">
        <v>0.8</v>
      </c>
      <c r="R204" s="56">
        <f t="shared" si="46"/>
        <v>0.8</v>
      </c>
      <c r="S204" s="56">
        <v>2.2999999999999998</v>
      </c>
      <c r="T204" s="56">
        <f t="shared" si="47"/>
        <v>2.2999999999999998</v>
      </c>
      <c r="U204" s="59">
        <v>4.4000000000000004</v>
      </c>
      <c r="V204" s="56">
        <f t="shared" si="50"/>
        <v>4.4000000000000004</v>
      </c>
      <c r="W204" s="50">
        <v>1.2</v>
      </c>
      <c r="X204" s="50">
        <f t="shared" si="51"/>
        <v>1.2</v>
      </c>
      <c r="Y204" s="50">
        <v>6</v>
      </c>
      <c r="Z204" s="50">
        <f t="shared" si="53"/>
        <v>6</v>
      </c>
      <c r="AA204" s="50">
        <v>0.5</v>
      </c>
      <c r="AB204" s="50">
        <f t="shared" si="48"/>
        <v>0.5</v>
      </c>
      <c r="AC204" s="50">
        <v>1</v>
      </c>
      <c r="AD204" s="50">
        <f t="shared" si="52"/>
        <v>1</v>
      </c>
    </row>
    <row r="205" spans="1:30" ht="15.75" customHeight="1" x14ac:dyDescent="0.2">
      <c r="A205" s="56">
        <v>8</v>
      </c>
      <c r="B205" s="56" t="s">
        <v>193</v>
      </c>
      <c r="C205" s="56" t="s">
        <v>167</v>
      </c>
      <c r="D205" s="58" t="s">
        <v>97</v>
      </c>
      <c r="E205" s="58" t="s">
        <v>18</v>
      </c>
      <c r="F205" s="56" t="s">
        <v>120</v>
      </c>
      <c r="G205" s="56">
        <v>9</v>
      </c>
      <c r="H205" s="56" t="s">
        <v>20</v>
      </c>
      <c r="I205" s="56">
        <v>161</v>
      </c>
      <c r="J205" s="56">
        <v>1</v>
      </c>
      <c r="K205" s="56"/>
      <c r="L205" s="61">
        <f t="shared" si="45"/>
        <v>1</v>
      </c>
      <c r="M205" s="24">
        <f t="shared" si="54"/>
        <v>161</v>
      </c>
      <c r="N205" s="79"/>
      <c r="O205" s="56">
        <v>55</v>
      </c>
      <c r="P205" s="56">
        <f t="shared" si="49"/>
        <v>55</v>
      </c>
      <c r="Q205" s="56">
        <v>1.3</v>
      </c>
      <c r="R205" s="56">
        <f t="shared" si="46"/>
        <v>1.3</v>
      </c>
      <c r="S205" s="56">
        <v>11.1</v>
      </c>
      <c r="T205" s="56">
        <f t="shared" si="47"/>
        <v>11.1</v>
      </c>
      <c r="U205" s="59">
        <v>0.6</v>
      </c>
      <c r="V205" s="56">
        <f t="shared" si="50"/>
        <v>0.6</v>
      </c>
      <c r="W205" s="50">
        <v>3.7</v>
      </c>
      <c r="X205" s="50">
        <f t="shared" si="51"/>
        <v>3.7</v>
      </c>
      <c r="Y205" s="50">
        <v>45</v>
      </c>
      <c r="Z205" s="50">
        <f t="shared" si="53"/>
        <v>45</v>
      </c>
      <c r="AA205" s="50">
        <v>1.3</v>
      </c>
      <c r="AB205" s="50">
        <f t="shared" si="48"/>
        <v>1.3</v>
      </c>
      <c r="AC205" s="50">
        <v>2</v>
      </c>
      <c r="AD205" s="50">
        <f t="shared" si="52"/>
        <v>2</v>
      </c>
    </row>
    <row r="206" spans="1:30" ht="15.75" customHeight="1" x14ac:dyDescent="0.2">
      <c r="A206" s="56">
        <v>8</v>
      </c>
      <c r="B206" s="56" t="s">
        <v>193</v>
      </c>
      <c r="C206" s="56" t="s">
        <v>167</v>
      </c>
      <c r="D206" s="58" t="s">
        <v>44</v>
      </c>
      <c r="E206" s="58" t="s">
        <v>408</v>
      </c>
      <c r="F206" s="56" t="s">
        <v>249</v>
      </c>
      <c r="G206" s="56">
        <v>0.5</v>
      </c>
      <c r="H206" s="56" t="s">
        <v>365</v>
      </c>
      <c r="I206" s="56">
        <v>60</v>
      </c>
      <c r="J206" s="56">
        <v>1</v>
      </c>
      <c r="K206" s="56"/>
      <c r="L206" s="61">
        <f t="shared" si="45"/>
        <v>1</v>
      </c>
      <c r="M206" s="24">
        <f t="shared" si="54"/>
        <v>60</v>
      </c>
      <c r="N206" s="79" t="s">
        <v>409</v>
      </c>
      <c r="O206" s="56">
        <v>146</v>
      </c>
      <c r="P206" s="56">
        <f t="shared" si="49"/>
        <v>146</v>
      </c>
      <c r="Q206" s="56">
        <v>7.4</v>
      </c>
      <c r="R206" s="56">
        <f t="shared" si="46"/>
        <v>7.4</v>
      </c>
      <c r="S206" s="56">
        <v>26.7</v>
      </c>
      <c r="T206" s="56">
        <f t="shared" si="47"/>
        <v>26.7</v>
      </c>
      <c r="U206" s="59">
        <v>1</v>
      </c>
      <c r="V206" s="56">
        <f t="shared" si="50"/>
        <v>1</v>
      </c>
      <c r="W206" s="50">
        <v>7.9</v>
      </c>
      <c r="X206" s="50">
        <f t="shared" si="51"/>
        <v>7.9</v>
      </c>
      <c r="Y206" s="50">
        <v>44</v>
      </c>
      <c r="Z206" s="50">
        <f t="shared" si="53"/>
        <v>44</v>
      </c>
      <c r="AA206" s="50">
        <v>2.4</v>
      </c>
      <c r="AB206" s="50">
        <f t="shared" si="48"/>
        <v>2.4</v>
      </c>
      <c r="AC206" s="50">
        <v>3</v>
      </c>
      <c r="AD206" s="50">
        <f t="shared" si="52"/>
        <v>3</v>
      </c>
    </row>
    <row r="207" spans="1:30" ht="15.75" customHeight="1" x14ac:dyDescent="0.2">
      <c r="A207" s="56">
        <v>8</v>
      </c>
      <c r="B207" s="56" t="s">
        <v>193</v>
      </c>
      <c r="C207" s="56" t="s">
        <v>167</v>
      </c>
      <c r="D207" s="58" t="s">
        <v>17</v>
      </c>
      <c r="E207" s="58" t="s">
        <v>406</v>
      </c>
      <c r="F207" s="56" t="s">
        <v>28</v>
      </c>
      <c r="G207" s="56">
        <v>1</v>
      </c>
      <c r="H207" s="56" t="s">
        <v>29</v>
      </c>
      <c r="I207" s="56">
        <v>50</v>
      </c>
      <c r="J207" s="56">
        <v>2</v>
      </c>
      <c r="K207" s="56"/>
      <c r="L207" s="61">
        <f t="shared" si="45"/>
        <v>2</v>
      </c>
      <c r="M207" s="24">
        <f t="shared" si="54"/>
        <v>100</v>
      </c>
      <c r="N207" s="79" t="s">
        <v>431</v>
      </c>
      <c r="O207" s="56">
        <v>77.5</v>
      </c>
      <c r="P207" s="56">
        <f t="shared" si="49"/>
        <v>155</v>
      </c>
      <c r="Q207" s="56">
        <v>6.3</v>
      </c>
      <c r="R207" s="56">
        <f t="shared" si="46"/>
        <v>12.6</v>
      </c>
      <c r="S207" s="56">
        <v>0.55000000000000004</v>
      </c>
      <c r="T207" s="56">
        <f t="shared" si="47"/>
        <v>1.1000000000000001</v>
      </c>
      <c r="U207" s="59">
        <v>5.3</v>
      </c>
      <c r="V207" s="56">
        <f t="shared" si="50"/>
        <v>10.6</v>
      </c>
      <c r="W207" s="50">
        <v>0</v>
      </c>
      <c r="X207" s="50">
        <f t="shared" si="51"/>
        <v>0</v>
      </c>
      <c r="Y207" s="50">
        <v>25</v>
      </c>
      <c r="Z207" s="50">
        <f t="shared" si="53"/>
        <v>50</v>
      </c>
      <c r="AA207" s="50">
        <v>0.6</v>
      </c>
      <c r="AB207" s="50">
        <f t="shared" si="48"/>
        <v>1.2</v>
      </c>
      <c r="AC207" s="50">
        <v>62</v>
      </c>
      <c r="AD207" s="50">
        <f t="shared" si="52"/>
        <v>124</v>
      </c>
    </row>
    <row r="208" spans="1:30" ht="15.75" customHeight="1" x14ac:dyDescent="0.2">
      <c r="A208" s="56">
        <v>8</v>
      </c>
      <c r="B208" s="56" t="s">
        <v>193</v>
      </c>
      <c r="C208" s="56" t="s">
        <v>167</v>
      </c>
      <c r="D208" s="58" t="s">
        <v>264</v>
      </c>
      <c r="E208" s="58" t="s">
        <v>424</v>
      </c>
      <c r="F208" s="56" t="s">
        <v>371</v>
      </c>
      <c r="G208" s="56">
        <v>1</v>
      </c>
      <c r="H208" s="56" t="s">
        <v>292</v>
      </c>
      <c r="I208" s="56">
        <v>2</v>
      </c>
      <c r="J208" s="56">
        <v>1</v>
      </c>
      <c r="K208" s="56"/>
      <c r="L208" s="61">
        <f t="shared" si="45"/>
        <v>1</v>
      </c>
      <c r="M208" s="24">
        <f t="shared" si="54"/>
        <v>2</v>
      </c>
      <c r="N208" s="79"/>
      <c r="O208" s="56">
        <v>0</v>
      </c>
      <c r="P208" s="56">
        <f t="shared" si="49"/>
        <v>0</v>
      </c>
      <c r="Q208" s="56">
        <v>0</v>
      </c>
      <c r="R208" s="56">
        <f t="shared" si="46"/>
        <v>0</v>
      </c>
      <c r="S208" s="56">
        <v>0</v>
      </c>
      <c r="T208" s="56">
        <f t="shared" si="47"/>
        <v>0</v>
      </c>
      <c r="U208" s="59">
        <v>0</v>
      </c>
      <c r="V208" s="56">
        <f t="shared" si="50"/>
        <v>0</v>
      </c>
      <c r="W208" s="50">
        <v>0</v>
      </c>
      <c r="X208" s="50">
        <f t="shared" si="51"/>
        <v>0</v>
      </c>
      <c r="Y208" s="50">
        <v>0</v>
      </c>
      <c r="Z208" s="50">
        <f t="shared" si="53"/>
        <v>0</v>
      </c>
      <c r="AA208" s="50">
        <v>0</v>
      </c>
      <c r="AB208" s="50">
        <f t="shared" si="48"/>
        <v>0</v>
      </c>
      <c r="AC208" s="50">
        <v>0</v>
      </c>
      <c r="AD208" s="50">
        <f t="shared" si="52"/>
        <v>0</v>
      </c>
    </row>
    <row r="209" spans="1:30" ht="15.75" customHeight="1" x14ac:dyDescent="0.2">
      <c r="A209" s="56">
        <v>8</v>
      </c>
      <c r="B209" s="56" t="s">
        <v>193</v>
      </c>
      <c r="C209" s="56" t="s">
        <v>167</v>
      </c>
      <c r="D209" s="58" t="s">
        <v>44</v>
      </c>
      <c r="E209" s="58" t="s">
        <v>18</v>
      </c>
      <c r="F209" s="56" t="s">
        <v>345</v>
      </c>
      <c r="G209" s="56">
        <v>1</v>
      </c>
      <c r="H209" s="56" t="s">
        <v>46</v>
      </c>
      <c r="I209" s="69">
        <v>112</v>
      </c>
      <c r="J209" s="69">
        <v>0.25</v>
      </c>
      <c r="K209" s="56"/>
      <c r="L209" s="61">
        <f t="shared" si="45"/>
        <v>0.25</v>
      </c>
      <c r="M209" s="24">
        <f t="shared" si="54"/>
        <v>28</v>
      </c>
      <c r="N209" s="79"/>
      <c r="O209" s="56">
        <v>81</v>
      </c>
      <c r="P209" s="56">
        <f t="shared" si="49"/>
        <v>20.25</v>
      </c>
      <c r="Q209" s="56">
        <v>0.6</v>
      </c>
      <c r="R209" s="56">
        <f t="shared" si="46"/>
        <v>0.15</v>
      </c>
      <c r="S209" s="56">
        <v>19</v>
      </c>
      <c r="T209" s="56">
        <f t="shared" si="47"/>
        <v>4.75</v>
      </c>
      <c r="U209" s="59">
        <v>0.3</v>
      </c>
      <c r="V209" s="56">
        <f t="shared" si="50"/>
        <v>7.4999999999999997E-2</v>
      </c>
      <c r="W209" s="50">
        <v>2</v>
      </c>
      <c r="X209" s="50">
        <f t="shared" si="51"/>
        <v>0.5</v>
      </c>
      <c r="Y209" s="50">
        <v>11</v>
      </c>
      <c r="Z209" s="50">
        <f t="shared" si="53"/>
        <v>2.75</v>
      </c>
      <c r="AA209" s="50">
        <v>0.1</v>
      </c>
      <c r="AB209" s="50">
        <f t="shared" si="48"/>
        <v>2.5000000000000001E-2</v>
      </c>
      <c r="AC209" s="50">
        <v>2</v>
      </c>
      <c r="AD209" s="50">
        <f t="shared" si="52"/>
        <v>0.5</v>
      </c>
    </row>
    <row r="210" spans="1:30" ht="15.75" customHeight="1" x14ac:dyDescent="0.2">
      <c r="A210" s="56">
        <v>8</v>
      </c>
      <c r="B210" s="56" t="s">
        <v>193</v>
      </c>
      <c r="C210" s="56" t="s">
        <v>167</v>
      </c>
      <c r="D210" s="58" t="s">
        <v>74</v>
      </c>
      <c r="E210" s="60" t="s">
        <v>410</v>
      </c>
      <c r="F210" s="56" t="s">
        <v>369</v>
      </c>
      <c r="G210" s="56">
        <v>1</v>
      </c>
      <c r="H210" s="56" t="s">
        <v>41</v>
      </c>
      <c r="I210" s="56">
        <v>32</v>
      </c>
      <c r="J210" s="56">
        <v>1</v>
      </c>
      <c r="K210" s="56"/>
      <c r="L210" s="61">
        <f t="shared" si="45"/>
        <v>1</v>
      </c>
      <c r="M210" s="24">
        <f t="shared" si="54"/>
        <v>32</v>
      </c>
      <c r="N210" s="79"/>
      <c r="O210" s="56">
        <v>84</v>
      </c>
      <c r="P210" s="56">
        <f t="shared" si="49"/>
        <v>84</v>
      </c>
      <c r="Q210" s="56">
        <v>3.1</v>
      </c>
      <c r="R210" s="56">
        <f t="shared" ref="R210:R226" si="55">(Q210*M210)/I210</f>
        <v>3.1</v>
      </c>
      <c r="S210" s="56">
        <v>14.8</v>
      </c>
      <c r="T210" s="56">
        <f t="shared" si="47"/>
        <v>14.8</v>
      </c>
      <c r="U210" s="59">
        <v>1.3</v>
      </c>
      <c r="V210" s="56">
        <f t="shared" si="50"/>
        <v>1.3</v>
      </c>
      <c r="W210" s="50">
        <v>2.2000000000000002</v>
      </c>
      <c r="X210" s="50">
        <f t="shared" si="51"/>
        <v>2.2000000000000002</v>
      </c>
      <c r="Y210" s="50">
        <v>23</v>
      </c>
      <c r="Z210" s="50">
        <f t="shared" si="53"/>
        <v>23</v>
      </c>
      <c r="AA210" s="50">
        <v>1.1000000000000001</v>
      </c>
      <c r="AB210" s="50">
        <f t="shared" si="48"/>
        <v>1.1000000000000001</v>
      </c>
      <c r="AC210" s="50">
        <v>169</v>
      </c>
      <c r="AD210" s="50">
        <f t="shared" si="52"/>
        <v>169</v>
      </c>
    </row>
    <row r="211" spans="1:30" ht="15.75" customHeight="1" x14ac:dyDescent="0.2">
      <c r="A211" s="56">
        <v>8</v>
      </c>
      <c r="B211" s="56" t="s">
        <v>193</v>
      </c>
      <c r="C211" s="56" t="s">
        <v>167</v>
      </c>
      <c r="D211" s="58" t="s">
        <v>17</v>
      </c>
      <c r="E211" s="60" t="s">
        <v>410</v>
      </c>
      <c r="F211" s="56" t="s">
        <v>362</v>
      </c>
      <c r="G211" s="56">
        <v>1</v>
      </c>
      <c r="H211" s="56" t="s">
        <v>71</v>
      </c>
      <c r="I211" s="56">
        <v>28</v>
      </c>
      <c r="J211" s="56">
        <v>1</v>
      </c>
      <c r="K211" s="56"/>
      <c r="L211" s="61">
        <f t="shared" si="45"/>
        <v>1</v>
      </c>
      <c r="M211" s="24">
        <f t="shared" si="54"/>
        <v>28</v>
      </c>
      <c r="N211" s="79"/>
      <c r="O211" s="56">
        <v>81</v>
      </c>
      <c r="P211" s="56">
        <f t="shared" si="49"/>
        <v>81</v>
      </c>
      <c r="Q211" s="56">
        <v>2.9</v>
      </c>
      <c r="R211" s="56">
        <f t="shared" si="55"/>
        <v>2.9</v>
      </c>
      <c r="S211" s="56">
        <v>12.8</v>
      </c>
      <c r="T211" s="56">
        <f t="shared" si="47"/>
        <v>12.8</v>
      </c>
      <c r="U211" s="59">
        <v>2</v>
      </c>
      <c r="V211" s="56">
        <f t="shared" si="50"/>
        <v>2</v>
      </c>
      <c r="W211" s="50">
        <v>0.6</v>
      </c>
      <c r="X211" s="50">
        <f t="shared" si="51"/>
        <v>0.6</v>
      </c>
      <c r="Y211" s="50">
        <v>60</v>
      </c>
      <c r="Z211" s="50">
        <f t="shared" si="53"/>
        <v>60</v>
      </c>
      <c r="AA211" s="50">
        <v>0.6</v>
      </c>
      <c r="AB211" s="50">
        <f t="shared" si="48"/>
        <v>0.6</v>
      </c>
      <c r="AC211" s="50">
        <v>184</v>
      </c>
      <c r="AD211" s="50">
        <f t="shared" si="52"/>
        <v>184</v>
      </c>
    </row>
    <row r="212" spans="1:30" ht="15.75" customHeight="1" x14ac:dyDescent="0.2">
      <c r="A212" s="56">
        <v>8</v>
      </c>
      <c r="B212" s="56" t="s">
        <v>193</v>
      </c>
      <c r="C212" s="56" t="s">
        <v>167</v>
      </c>
      <c r="D212" s="58" t="s">
        <v>17</v>
      </c>
      <c r="E212" s="58" t="s">
        <v>18</v>
      </c>
      <c r="F212" s="56" t="s">
        <v>272</v>
      </c>
      <c r="G212" s="56">
        <v>1</v>
      </c>
      <c r="H212" s="56" t="s">
        <v>273</v>
      </c>
      <c r="I212" s="56">
        <v>128</v>
      </c>
      <c r="J212" s="56">
        <v>1</v>
      </c>
      <c r="K212" s="56"/>
      <c r="L212" s="61">
        <f t="shared" si="45"/>
        <v>1</v>
      </c>
      <c r="M212" s="24">
        <f t="shared" si="54"/>
        <v>128</v>
      </c>
      <c r="N212" s="79"/>
      <c r="O212" s="56">
        <v>54</v>
      </c>
      <c r="P212" s="56">
        <f t="shared" si="49"/>
        <v>54</v>
      </c>
      <c r="Q212" s="56">
        <v>0.8</v>
      </c>
      <c r="R212" s="56">
        <f t="shared" si="55"/>
        <v>0.8</v>
      </c>
      <c r="S212" s="56">
        <v>12.5</v>
      </c>
      <c r="T212" s="56">
        <f t="shared" si="47"/>
        <v>12.5</v>
      </c>
      <c r="U212" s="59">
        <v>0.1</v>
      </c>
      <c r="V212" s="56">
        <f t="shared" si="50"/>
        <v>0.1</v>
      </c>
      <c r="W212" s="50">
        <v>2.2999999999999998</v>
      </c>
      <c r="X212" s="50">
        <f t="shared" si="51"/>
        <v>2.2999999999999998</v>
      </c>
      <c r="Y212" s="50">
        <v>31</v>
      </c>
      <c r="Z212" s="50">
        <f t="shared" si="53"/>
        <v>31</v>
      </c>
      <c r="AA212" s="50">
        <v>0.1</v>
      </c>
      <c r="AB212" s="50">
        <f t="shared" si="48"/>
        <v>0.1</v>
      </c>
      <c r="AC212" s="50">
        <v>4</v>
      </c>
      <c r="AD212" s="50">
        <f t="shared" si="52"/>
        <v>4</v>
      </c>
    </row>
    <row r="213" spans="1:30" ht="15.75" customHeight="1" x14ac:dyDescent="0.2">
      <c r="A213" s="56">
        <v>8</v>
      </c>
      <c r="B213" s="56" t="s">
        <v>193</v>
      </c>
      <c r="C213" s="56" t="s">
        <v>167</v>
      </c>
      <c r="D213" s="58" t="s">
        <v>44</v>
      </c>
      <c r="E213" s="58" t="s">
        <v>36</v>
      </c>
      <c r="F213" s="56" t="s">
        <v>45</v>
      </c>
      <c r="G213" s="56">
        <v>0.25</v>
      </c>
      <c r="H213" s="56" t="s">
        <v>20</v>
      </c>
      <c r="I213" s="56">
        <v>80</v>
      </c>
      <c r="J213" s="56">
        <v>1</v>
      </c>
      <c r="K213" s="56"/>
      <c r="L213" s="61">
        <f t="shared" si="45"/>
        <v>1</v>
      </c>
      <c r="M213" s="24">
        <f t="shared" si="54"/>
        <v>80</v>
      </c>
      <c r="N213" s="79"/>
      <c r="O213" s="56">
        <v>83</v>
      </c>
      <c r="P213" s="56">
        <f t="shared" si="49"/>
        <v>83</v>
      </c>
      <c r="Q213" s="56">
        <v>18.5</v>
      </c>
      <c r="R213" s="56">
        <f t="shared" si="55"/>
        <v>18.5</v>
      </c>
      <c r="S213" s="56">
        <v>0</v>
      </c>
      <c r="T213" s="56">
        <f t="shared" si="47"/>
        <v>0</v>
      </c>
      <c r="U213" s="59">
        <v>1</v>
      </c>
      <c r="V213" s="56">
        <f t="shared" si="50"/>
        <v>1</v>
      </c>
      <c r="W213" s="50">
        <v>0</v>
      </c>
      <c r="X213" s="50">
        <f t="shared" si="51"/>
        <v>0</v>
      </c>
      <c r="Y213" s="50">
        <v>9</v>
      </c>
      <c r="Z213" s="50">
        <f t="shared" si="53"/>
        <v>9</v>
      </c>
      <c r="AA213" s="50">
        <v>0.6</v>
      </c>
      <c r="AB213" s="50">
        <f t="shared" si="48"/>
        <v>0.6</v>
      </c>
      <c r="AC213" s="50">
        <v>52</v>
      </c>
      <c r="AD213" s="50">
        <f t="shared" si="52"/>
        <v>52</v>
      </c>
    </row>
    <row r="214" spans="1:30" ht="15.75" customHeight="1" x14ac:dyDescent="0.2">
      <c r="A214" s="56">
        <v>8</v>
      </c>
      <c r="B214" s="56" t="s">
        <v>193</v>
      </c>
      <c r="C214" s="56" t="s">
        <v>167</v>
      </c>
      <c r="D214" s="58" t="s">
        <v>44</v>
      </c>
      <c r="E214" s="58" t="s">
        <v>18</v>
      </c>
      <c r="F214" s="56" t="s">
        <v>117</v>
      </c>
      <c r="G214" s="77">
        <v>1</v>
      </c>
      <c r="H214" s="56" t="s">
        <v>118</v>
      </c>
      <c r="I214" s="56">
        <v>110</v>
      </c>
      <c r="J214" s="56">
        <v>1</v>
      </c>
      <c r="K214" s="56"/>
      <c r="L214" s="61">
        <f t="shared" si="45"/>
        <v>1</v>
      </c>
      <c r="M214" s="24">
        <f t="shared" si="54"/>
        <v>110</v>
      </c>
      <c r="N214" s="79"/>
      <c r="O214" s="56">
        <v>60</v>
      </c>
      <c r="P214" s="56">
        <f t="shared" si="49"/>
        <v>60</v>
      </c>
      <c r="Q214" s="56">
        <v>0.4</v>
      </c>
      <c r="R214" s="56">
        <f t="shared" si="55"/>
        <v>0.4</v>
      </c>
      <c r="S214" s="56">
        <v>13.6</v>
      </c>
      <c r="T214" s="56">
        <f t="shared" si="47"/>
        <v>13.6</v>
      </c>
      <c r="U214" s="59">
        <v>0.4</v>
      </c>
      <c r="V214" s="59">
        <f t="shared" si="50"/>
        <v>0.4</v>
      </c>
      <c r="W214" s="50">
        <v>1.3</v>
      </c>
      <c r="X214" s="50">
        <f t="shared" si="51"/>
        <v>1.3</v>
      </c>
      <c r="Y214" s="50">
        <v>8</v>
      </c>
      <c r="Z214" s="50">
        <f t="shared" si="53"/>
        <v>8</v>
      </c>
      <c r="AA214" s="50">
        <v>0.4</v>
      </c>
      <c r="AB214" s="50">
        <f t="shared" si="48"/>
        <v>0.4</v>
      </c>
      <c r="AC214" s="50">
        <v>1</v>
      </c>
      <c r="AD214" s="50">
        <f t="shared" si="52"/>
        <v>1</v>
      </c>
    </row>
    <row r="215" spans="1:30" ht="15.75" customHeight="1" x14ac:dyDescent="0.2">
      <c r="A215" s="56">
        <v>8</v>
      </c>
      <c r="B215" s="56" t="s">
        <v>193</v>
      </c>
      <c r="C215" s="56" t="s">
        <v>167</v>
      </c>
      <c r="D215" s="58" t="s">
        <v>44</v>
      </c>
      <c r="E215" s="60" t="s">
        <v>410</v>
      </c>
      <c r="F215" s="56" t="s">
        <v>364</v>
      </c>
      <c r="G215" s="56">
        <v>0.25</v>
      </c>
      <c r="H215" s="56" t="s">
        <v>29</v>
      </c>
      <c r="I215" s="56">
        <v>66</v>
      </c>
      <c r="J215" s="56">
        <v>1</v>
      </c>
      <c r="K215" s="56"/>
      <c r="L215" s="61">
        <f t="shared" si="45"/>
        <v>1</v>
      </c>
      <c r="M215" s="24">
        <f t="shared" si="54"/>
        <v>66</v>
      </c>
      <c r="N215" s="79" t="s">
        <v>435</v>
      </c>
      <c r="O215" s="56">
        <v>101</v>
      </c>
      <c r="P215" s="56">
        <f t="shared" si="49"/>
        <v>101</v>
      </c>
      <c r="Q215" s="56">
        <v>0.7</v>
      </c>
      <c r="R215" s="56">
        <f t="shared" si="55"/>
        <v>0.7</v>
      </c>
      <c r="S215" s="56">
        <v>24</v>
      </c>
      <c r="T215" s="56">
        <f t="shared" si="47"/>
        <v>24</v>
      </c>
      <c r="U215" s="59">
        <v>0.3</v>
      </c>
      <c r="V215" s="56">
        <f t="shared" si="50"/>
        <v>0.3</v>
      </c>
      <c r="W215" s="50">
        <v>1.5</v>
      </c>
      <c r="X215" s="50">
        <f t="shared" si="51"/>
        <v>1.5</v>
      </c>
      <c r="Y215" s="50">
        <v>3</v>
      </c>
      <c r="Z215" s="50">
        <f t="shared" si="53"/>
        <v>3</v>
      </c>
      <c r="AA215" s="50">
        <v>0.3</v>
      </c>
      <c r="AB215" s="50">
        <f t="shared" si="48"/>
        <v>0.3</v>
      </c>
      <c r="AC215" s="50">
        <v>3</v>
      </c>
      <c r="AD215" s="50">
        <f t="shared" si="52"/>
        <v>3</v>
      </c>
    </row>
    <row r="216" spans="1:30" ht="15.75" customHeight="1" x14ac:dyDescent="0.2">
      <c r="A216" s="56">
        <v>8</v>
      </c>
      <c r="B216" s="56" t="s">
        <v>193</v>
      </c>
      <c r="C216" s="56" t="s">
        <v>167</v>
      </c>
      <c r="D216" s="58" t="s">
        <v>74</v>
      </c>
      <c r="E216" s="58" t="s">
        <v>406</v>
      </c>
      <c r="F216" s="56" t="s">
        <v>240</v>
      </c>
      <c r="G216" s="56">
        <v>1</v>
      </c>
      <c r="H216" s="56" t="s">
        <v>310</v>
      </c>
      <c r="I216" s="56">
        <v>30</v>
      </c>
      <c r="J216" s="56">
        <v>1</v>
      </c>
      <c r="K216" s="56"/>
      <c r="L216" s="61">
        <f t="shared" si="45"/>
        <v>1</v>
      </c>
      <c r="M216" s="24">
        <f t="shared" si="54"/>
        <v>30</v>
      </c>
      <c r="N216" s="79"/>
      <c r="O216" s="56">
        <v>83</v>
      </c>
      <c r="P216" s="56">
        <f t="shared" si="49"/>
        <v>83</v>
      </c>
      <c r="Q216" s="56">
        <v>6.5</v>
      </c>
      <c r="R216" s="56">
        <f t="shared" si="55"/>
        <v>6.5</v>
      </c>
      <c r="S216" s="56">
        <v>1.5</v>
      </c>
      <c r="T216" s="56">
        <f t="shared" si="47"/>
        <v>1.5</v>
      </c>
      <c r="U216" s="59">
        <v>5.7</v>
      </c>
      <c r="V216" s="56">
        <f t="shared" si="50"/>
        <v>5.7</v>
      </c>
      <c r="W216" s="50">
        <v>0</v>
      </c>
      <c r="X216" s="50">
        <f t="shared" si="51"/>
        <v>0</v>
      </c>
      <c r="Y216" s="50">
        <v>207</v>
      </c>
      <c r="Z216" s="50">
        <f t="shared" si="53"/>
        <v>207</v>
      </c>
      <c r="AA216" s="50">
        <v>0.2</v>
      </c>
      <c r="AB216" s="50">
        <f t="shared" si="48"/>
        <v>0.2</v>
      </c>
      <c r="AC216" s="50">
        <v>112</v>
      </c>
      <c r="AD216" s="50">
        <f t="shared" si="52"/>
        <v>112</v>
      </c>
    </row>
    <row r="217" spans="1:30" ht="15.75" customHeight="1" x14ac:dyDescent="0.2">
      <c r="A217" s="56">
        <v>8</v>
      </c>
      <c r="B217" s="56" t="s">
        <v>193</v>
      </c>
      <c r="C217" s="56" t="s">
        <v>167</v>
      </c>
      <c r="D217" s="57" t="s">
        <v>236</v>
      </c>
      <c r="E217" s="58" t="s">
        <v>404</v>
      </c>
      <c r="F217" s="56" t="s">
        <v>370</v>
      </c>
      <c r="G217" s="56">
        <v>1</v>
      </c>
      <c r="H217" s="56" t="s">
        <v>262</v>
      </c>
      <c r="I217" s="56">
        <v>200</v>
      </c>
      <c r="J217" s="56">
        <v>1</v>
      </c>
      <c r="K217" s="56"/>
      <c r="L217" s="61">
        <f t="shared" si="45"/>
        <v>1</v>
      </c>
      <c r="M217" s="24">
        <f t="shared" si="54"/>
        <v>200</v>
      </c>
      <c r="N217" s="79"/>
      <c r="O217" s="56"/>
      <c r="P217" s="56">
        <f t="shared" si="49"/>
        <v>0</v>
      </c>
      <c r="Q217" s="56"/>
      <c r="R217" s="56">
        <f t="shared" si="55"/>
        <v>0</v>
      </c>
      <c r="S217" s="56"/>
      <c r="T217" s="56">
        <f t="shared" si="47"/>
        <v>0</v>
      </c>
      <c r="U217" s="59"/>
      <c r="V217" s="56">
        <f t="shared" si="50"/>
        <v>0</v>
      </c>
      <c r="W217" s="50"/>
      <c r="X217" s="50">
        <f t="shared" si="51"/>
        <v>0</v>
      </c>
      <c r="Y217" s="50"/>
      <c r="Z217" s="50">
        <f t="shared" si="53"/>
        <v>0</v>
      </c>
      <c r="AA217" s="50"/>
      <c r="AB217" s="50">
        <f t="shared" si="48"/>
        <v>0</v>
      </c>
      <c r="AC217" s="50"/>
      <c r="AD217" s="50">
        <f t="shared" si="52"/>
        <v>0</v>
      </c>
    </row>
    <row r="218" spans="1:30" ht="15.75" customHeight="1" x14ac:dyDescent="0.2">
      <c r="A218" s="56">
        <v>8</v>
      </c>
      <c r="B218" s="56" t="s">
        <v>193</v>
      </c>
      <c r="C218" s="56" t="s">
        <v>167</v>
      </c>
      <c r="D218" s="58" t="s">
        <v>44</v>
      </c>
      <c r="E218" s="58" t="s">
        <v>418</v>
      </c>
      <c r="F218" s="56" t="s">
        <v>67</v>
      </c>
      <c r="G218" s="56">
        <v>0.5</v>
      </c>
      <c r="H218" s="56" t="s">
        <v>366</v>
      </c>
      <c r="I218" s="56">
        <v>58</v>
      </c>
      <c r="J218" s="56">
        <v>1</v>
      </c>
      <c r="K218" s="56"/>
      <c r="L218" s="61">
        <f t="shared" si="45"/>
        <v>1</v>
      </c>
      <c r="M218" s="24">
        <f t="shared" si="54"/>
        <v>58</v>
      </c>
      <c r="N218" s="79"/>
      <c r="O218" s="56">
        <v>27</v>
      </c>
      <c r="P218" s="56">
        <f t="shared" si="49"/>
        <v>27</v>
      </c>
      <c r="Q218" s="56">
        <v>0.6</v>
      </c>
      <c r="R218" s="56">
        <f t="shared" si="55"/>
        <v>0.6</v>
      </c>
      <c r="S218" s="56">
        <v>5.9</v>
      </c>
      <c r="T218" s="56">
        <f t="shared" si="47"/>
        <v>5.9</v>
      </c>
      <c r="U218" s="59">
        <v>0.1</v>
      </c>
      <c r="V218" s="56">
        <f t="shared" si="50"/>
        <v>0.1</v>
      </c>
      <c r="W218" s="50">
        <v>1.7</v>
      </c>
      <c r="X218" s="50">
        <f t="shared" si="51"/>
        <v>1.7</v>
      </c>
      <c r="Y218" s="50">
        <v>16</v>
      </c>
      <c r="Z218" s="50">
        <f t="shared" si="53"/>
        <v>16</v>
      </c>
      <c r="AA218" s="50">
        <v>0.3</v>
      </c>
      <c r="AB218" s="50">
        <f t="shared" si="48"/>
        <v>0.3</v>
      </c>
      <c r="AC218" s="50">
        <v>20</v>
      </c>
      <c r="AD218" s="50">
        <f t="shared" si="52"/>
        <v>20</v>
      </c>
    </row>
    <row r="219" spans="1:30" ht="15.75" customHeight="1" x14ac:dyDescent="0.2">
      <c r="A219" s="56">
        <v>9</v>
      </c>
      <c r="B219" s="56" t="s">
        <v>193</v>
      </c>
      <c r="C219" s="62" t="s">
        <v>233</v>
      </c>
      <c r="D219" s="58" t="s">
        <v>44</v>
      </c>
      <c r="E219" s="58" t="s">
        <v>23</v>
      </c>
      <c r="F219" s="56" t="s">
        <v>63</v>
      </c>
      <c r="G219" s="56">
        <f>1/8</f>
        <v>0.125</v>
      </c>
      <c r="H219" s="56" t="s">
        <v>53</v>
      </c>
      <c r="I219" s="69">
        <v>30</v>
      </c>
      <c r="J219" s="69">
        <v>2</v>
      </c>
      <c r="K219" s="56"/>
      <c r="L219" s="61">
        <f t="shared" si="45"/>
        <v>2</v>
      </c>
      <c r="M219" s="24">
        <f t="shared" si="54"/>
        <v>60</v>
      </c>
      <c r="N219" s="79"/>
      <c r="O219" s="56">
        <v>53</v>
      </c>
      <c r="P219" s="56">
        <f t="shared" si="49"/>
        <v>106</v>
      </c>
      <c r="Q219" s="56">
        <v>0.6</v>
      </c>
      <c r="R219" s="56">
        <f t="shared" si="55"/>
        <v>1.2</v>
      </c>
      <c r="S219" s="56">
        <v>2.2000000000000002</v>
      </c>
      <c r="T219" s="56">
        <f t="shared" si="47"/>
        <v>4.4000000000000004</v>
      </c>
      <c r="U219" s="59">
        <v>4.5999999999999996</v>
      </c>
      <c r="V219" s="56">
        <f t="shared" si="50"/>
        <v>9.1999999999999993</v>
      </c>
      <c r="W219" s="50">
        <v>1.5</v>
      </c>
      <c r="X219" s="50">
        <f t="shared" si="51"/>
        <v>3</v>
      </c>
      <c r="Y219" s="50">
        <v>3</v>
      </c>
      <c r="Z219" s="50">
        <f t="shared" si="53"/>
        <v>6</v>
      </c>
      <c r="AA219" s="50">
        <v>0.3</v>
      </c>
      <c r="AB219" s="50">
        <f t="shared" si="48"/>
        <v>0.6</v>
      </c>
      <c r="AC219" s="50">
        <v>3</v>
      </c>
      <c r="AD219" s="50">
        <f t="shared" si="52"/>
        <v>6</v>
      </c>
    </row>
    <row r="220" spans="1:30" ht="15.75" customHeight="1" x14ac:dyDescent="0.2">
      <c r="A220" s="56">
        <v>9</v>
      </c>
      <c r="B220" s="56" t="s">
        <v>193</v>
      </c>
      <c r="C220" s="62" t="s">
        <v>233</v>
      </c>
      <c r="D220" s="58" t="s">
        <v>17</v>
      </c>
      <c r="E220" s="60" t="s">
        <v>410</v>
      </c>
      <c r="F220" s="71" t="s">
        <v>237</v>
      </c>
      <c r="G220" s="71">
        <v>1</v>
      </c>
      <c r="H220" s="71" t="s">
        <v>35</v>
      </c>
      <c r="I220" s="72">
        <v>52</v>
      </c>
      <c r="J220" s="72">
        <v>1</v>
      </c>
      <c r="K220" s="56"/>
      <c r="L220" s="61">
        <f t="shared" si="45"/>
        <v>1</v>
      </c>
      <c r="M220" s="24">
        <f t="shared" si="54"/>
        <v>52</v>
      </c>
      <c r="N220" s="80" t="s">
        <v>411</v>
      </c>
      <c r="O220" s="56">
        <v>102</v>
      </c>
      <c r="P220" s="56">
        <f t="shared" si="49"/>
        <v>102</v>
      </c>
      <c r="Q220" s="56">
        <v>2.1</v>
      </c>
      <c r="R220" s="56">
        <f t="shared" si="55"/>
        <v>2.1</v>
      </c>
      <c r="S220" s="56">
        <v>22.5</v>
      </c>
      <c r="T220" s="56">
        <f t="shared" si="47"/>
        <v>22.5</v>
      </c>
      <c r="U220" s="59">
        <v>0.3</v>
      </c>
      <c r="V220" s="56">
        <f t="shared" si="50"/>
        <v>0.3</v>
      </c>
      <c r="W220" s="50">
        <v>0.3</v>
      </c>
      <c r="X220" s="50">
        <f t="shared" si="51"/>
        <v>0.3</v>
      </c>
      <c r="Y220" s="50">
        <v>2</v>
      </c>
      <c r="Z220" s="50">
        <f t="shared" si="53"/>
        <v>2</v>
      </c>
      <c r="AA220" s="50">
        <v>0.4</v>
      </c>
      <c r="AB220" s="50">
        <f t="shared" si="48"/>
        <v>0.4</v>
      </c>
      <c r="AC220" s="50">
        <v>1</v>
      </c>
      <c r="AD220" s="50">
        <f t="shared" si="52"/>
        <v>1</v>
      </c>
    </row>
    <row r="221" spans="1:30" ht="15.75" customHeight="1" x14ac:dyDescent="0.2">
      <c r="A221" s="56">
        <v>9</v>
      </c>
      <c r="B221" s="56" t="s">
        <v>193</v>
      </c>
      <c r="C221" s="62" t="s">
        <v>233</v>
      </c>
      <c r="D221" s="58" t="s">
        <v>44</v>
      </c>
      <c r="E221" s="60" t="s">
        <v>410</v>
      </c>
      <c r="F221" s="56" t="s">
        <v>47</v>
      </c>
      <c r="G221" s="56">
        <v>6</v>
      </c>
      <c r="H221" s="56" t="s">
        <v>363</v>
      </c>
      <c r="I221" s="56">
        <v>80</v>
      </c>
      <c r="J221" s="56">
        <v>1</v>
      </c>
      <c r="K221" s="56"/>
      <c r="L221" s="61">
        <f t="shared" si="45"/>
        <v>1</v>
      </c>
      <c r="M221" s="24">
        <f t="shared" si="54"/>
        <v>80</v>
      </c>
      <c r="N221" s="79" t="s">
        <v>413</v>
      </c>
      <c r="O221" s="56">
        <v>101</v>
      </c>
      <c r="P221" s="56">
        <f t="shared" si="49"/>
        <v>101</v>
      </c>
      <c r="Q221" s="56">
        <v>1.9</v>
      </c>
      <c r="R221" s="56">
        <f t="shared" si="55"/>
        <v>1.9</v>
      </c>
      <c r="S221" s="56">
        <v>22.9</v>
      </c>
      <c r="T221" s="56">
        <f t="shared" si="47"/>
        <v>22.9</v>
      </c>
      <c r="U221" s="59">
        <v>0.2</v>
      </c>
      <c r="V221" s="56">
        <f t="shared" si="50"/>
        <v>0.2</v>
      </c>
      <c r="W221" s="50">
        <v>0.2</v>
      </c>
      <c r="X221" s="50">
        <f t="shared" si="51"/>
        <v>0.2</v>
      </c>
      <c r="Y221" s="50">
        <v>2</v>
      </c>
      <c r="Z221" s="50">
        <f t="shared" si="53"/>
        <v>2</v>
      </c>
      <c r="AA221" s="50">
        <v>0.2</v>
      </c>
      <c r="AB221" s="50">
        <f t="shared" si="48"/>
        <v>0.2</v>
      </c>
      <c r="AC221" s="50">
        <v>0</v>
      </c>
      <c r="AD221" s="50">
        <f t="shared" si="52"/>
        <v>0</v>
      </c>
    </row>
    <row r="222" spans="1:30" ht="15.75" customHeight="1" x14ac:dyDescent="0.2">
      <c r="A222" s="56">
        <v>9</v>
      </c>
      <c r="B222" s="56" t="s">
        <v>193</v>
      </c>
      <c r="C222" s="62" t="s">
        <v>233</v>
      </c>
      <c r="D222" s="58" t="s">
        <v>97</v>
      </c>
      <c r="E222" s="58" t="s">
        <v>422</v>
      </c>
      <c r="F222" s="56" t="s">
        <v>380</v>
      </c>
      <c r="G222" s="56">
        <v>1</v>
      </c>
      <c r="H222" s="56" t="s">
        <v>248</v>
      </c>
      <c r="I222" s="56">
        <v>30</v>
      </c>
      <c r="J222" s="56">
        <v>1</v>
      </c>
      <c r="K222" s="56"/>
      <c r="L222" s="61">
        <f t="shared" si="45"/>
        <v>1</v>
      </c>
      <c r="M222" s="24">
        <f t="shared" si="54"/>
        <v>30</v>
      </c>
      <c r="N222" s="79" t="s">
        <v>427</v>
      </c>
      <c r="O222" s="56">
        <v>92</v>
      </c>
      <c r="P222" s="56">
        <f t="shared" si="49"/>
        <v>92</v>
      </c>
      <c r="Q222" s="56">
        <v>8.9999999999999993E-3</v>
      </c>
      <c r="R222" s="56">
        <f t="shared" si="55"/>
        <v>8.9999999999999993E-3</v>
      </c>
      <c r="S222" s="56">
        <v>23.7</v>
      </c>
      <c r="T222" s="56">
        <f t="shared" si="47"/>
        <v>23.7</v>
      </c>
      <c r="U222" s="59">
        <v>0.03</v>
      </c>
      <c r="V222" s="56">
        <f t="shared" si="50"/>
        <v>2.9999999999999995E-2</v>
      </c>
      <c r="W222" s="50">
        <v>0</v>
      </c>
      <c r="X222" s="50">
        <f t="shared" si="51"/>
        <v>0</v>
      </c>
      <c r="Y222" s="50">
        <v>7.5</v>
      </c>
      <c r="Z222" s="50">
        <f t="shared" si="53"/>
        <v>7.5</v>
      </c>
      <c r="AA222" s="50">
        <v>0.36</v>
      </c>
      <c r="AB222" s="50">
        <f t="shared" si="48"/>
        <v>0.36</v>
      </c>
      <c r="AC222" s="50">
        <v>0</v>
      </c>
      <c r="AD222" s="50">
        <f t="shared" si="52"/>
        <v>0</v>
      </c>
    </row>
    <row r="223" spans="1:30" ht="15.75" customHeight="1" x14ac:dyDescent="0.2">
      <c r="A223" s="56">
        <v>9</v>
      </c>
      <c r="B223" s="56" t="s">
        <v>193</v>
      </c>
      <c r="C223" s="62" t="s">
        <v>233</v>
      </c>
      <c r="D223" s="58" t="s">
        <v>74</v>
      </c>
      <c r="E223" s="58" t="s">
        <v>404</v>
      </c>
      <c r="F223" s="56" t="s">
        <v>379</v>
      </c>
      <c r="G223" s="56">
        <v>1</v>
      </c>
      <c r="H223" s="56" t="s">
        <v>262</v>
      </c>
      <c r="I223" s="69">
        <v>200</v>
      </c>
      <c r="J223" s="69">
        <v>0.75</v>
      </c>
      <c r="K223" s="69"/>
      <c r="L223" s="61">
        <f t="shared" si="45"/>
        <v>0.75</v>
      </c>
      <c r="M223" s="13">
        <f>L223*I223</f>
        <v>150</v>
      </c>
      <c r="N223" s="80" t="s">
        <v>330</v>
      </c>
      <c r="O223" s="56">
        <v>85</v>
      </c>
      <c r="P223" s="56">
        <f t="shared" si="49"/>
        <v>63.75</v>
      </c>
      <c r="Q223" s="56">
        <v>6.6</v>
      </c>
      <c r="R223" s="56">
        <f t="shared" si="55"/>
        <v>4.95</v>
      </c>
      <c r="S223" s="56">
        <v>9.6</v>
      </c>
      <c r="T223" s="56">
        <f t="shared" si="47"/>
        <v>7.2</v>
      </c>
      <c r="U223" s="59">
        <v>2.2000000000000002</v>
      </c>
      <c r="V223" s="56">
        <f t="shared" si="50"/>
        <v>1.65</v>
      </c>
      <c r="W223" s="50">
        <v>0</v>
      </c>
      <c r="X223" s="50">
        <f t="shared" si="51"/>
        <v>0</v>
      </c>
      <c r="Y223" s="50">
        <v>246</v>
      </c>
      <c r="Z223" s="50">
        <f t="shared" si="53"/>
        <v>184.5</v>
      </c>
      <c r="AA223" s="50">
        <v>0.2</v>
      </c>
      <c r="AB223" s="50">
        <f t="shared" si="48"/>
        <v>0.15</v>
      </c>
      <c r="AC223" s="50">
        <v>102</v>
      </c>
      <c r="AD223" s="50">
        <f t="shared" si="52"/>
        <v>76.5</v>
      </c>
    </row>
    <row r="224" spans="1:30" ht="15.75" customHeight="1" x14ac:dyDescent="0.2">
      <c r="A224" s="56">
        <v>9</v>
      </c>
      <c r="B224" s="56" t="s">
        <v>193</v>
      </c>
      <c r="C224" s="62" t="s">
        <v>233</v>
      </c>
      <c r="D224" s="58" t="s">
        <v>44</v>
      </c>
      <c r="E224" s="58" t="s">
        <v>36</v>
      </c>
      <c r="F224" s="56" t="s">
        <v>258</v>
      </c>
      <c r="G224" s="56">
        <v>1</v>
      </c>
      <c r="H224" s="56" t="s">
        <v>29</v>
      </c>
      <c r="I224" s="56">
        <v>100</v>
      </c>
      <c r="J224" s="56">
        <v>1</v>
      </c>
      <c r="K224" s="56"/>
      <c r="L224" s="61">
        <f t="shared" si="45"/>
        <v>1</v>
      </c>
      <c r="M224" s="24">
        <f t="shared" ref="M224:M243" si="56">I224*L224</f>
        <v>100</v>
      </c>
      <c r="N224" s="79"/>
      <c r="O224" s="56"/>
      <c r="P224" s="56">
        <f t="shared" si="49"/>
        <v>0</v>
      </c>
      <c r="Q224" s="56"/>
      <c r="R224" s="56">
        <f t="shared" si="55"/>
        <v>0</v>
      </c>
      <c r="S224" s="56"/>
      <c r="T224" s="56">
        <f t="shared" si="47"/>
        <v>0</v>
      </c>
      <c r="U224" s="59"/>
      <c r="V224" s="56">
        <f t="shared" si="50"/>
        <v>0</v>
      </c>
      <c r="W224" s="50"/>
      <c r="X224" s="50">
        <f t="shared" si="51"/>
        <v>0</v>
      </c>
      <c r="Y224" s="50"/>
      <c r="Z224" s="50">
        <f t="shared" si="53"/>
        <v>0</v>
      </c>
      <c r="AA224" s="50"/>
      <c r="AB224" s="50">
        <f t="shared" ref="AB224:AB226" si="57">(AA224*M224)/I224</f>
        <v>0</v>
      </c>
      <c r="AC224" s="50"/>
      <c r="AD224" s="50">
        <f t="shared" si="52"/>
        <v>0</v>
      </c>
    </row>
    <row r="225" spans="1:30" ht="15.75" customHeight="1" x14ac:dyDescent="0.2">
      <c r="A225" s="56">
        <v>9</v>
      </c>
      <c r="B225" s="56" t="s">
        <v>193</v>
      </c>
      <c r="C225" s="62" t="s">
        <v>233</v>
      </c>
      <c r="D225" s="58" t="s">
        <v>17</v>
      </c>
      <c r="E225" s="58" t="s">
        <v>424</v>
      </c>
      <c r="F225" s="56" t="s">
        <v>373</v>
      </c>
      <c r="G225" s="56">
        <v>2</v>
      </c>
      <c r="H225" s="56" t="s">
        <v>235</v>
      </c>
      <c r="I225" s="56">
        <v>31</v>
      </c>
      <c r="J225" s="56">
        <v>1</v>
      </c>
      <c r="K225" s="56"/>
      <c r="L225" s="61">
        <f t="shared" si="45"/>
        <v>1</v>
      </c>
      <c r="M225" s="24">
        <f t="shared" si="56"/>
        <v>31</v>
      </c>
      <c r="N225" s="79" t="s">
        <v>374</v>
      </c>
      <c r="O225" s="56">
        <v>128</v>
      </c>
      <c r="P225" s="56">
        <f t="shared" si="49"/>
        <v>128</v>
      </c>
      <c r="Q225" s="56">
        <v>1.3</v>
      </c>
      <c r="R225" s="56">
        <f t="shared" si="55"/>
        <v>1.3</v>
      </c>
      <c r="S225" s="56">
        <v>23.5</v>
      </c>
      <c r="T225" s="56">
        <f t="shared" si="47"/>
        <v>23.5</v>
      </c>
      <c r="U225" s="59">
        <v>3.2</v>
      </c>
      <c r="V225" s="56">
        <f t="shared" si="50"/>
        <v>3.2</v>
      </c>
      <c r="W225" s="50">
        <v>4.8</v>
      </c>
      <c r="X225" s="50">
        <f t="shared" si="51"/>
        <v>4.8</v>
      </c>
      <c r="Y225" s="50">
        <v>11</v>
      </c>
      <c r="Z225" s="50">
        <f t="shared" si="53"/>
        <v>11</v>
      </c>
      <c r="AA225" s="50">
        <v>1.2</v>
      </c>
      <c r="AB225" s="50">
        <f t="shared" si="57"/>
        <v>1.2</v>
      </c>
      <c r="AC225" s="50">
        <v>4</v>
      </c>
      <c r="AD225" s="50">
        <f t="shared" si="52"/>
        <v>4</v>
      </c>
    </row>
    <row r="226" spans="1:30" ht="15.75" customHeight="1" x14ac:dyDescent="0.2">
      <c r="A226" s="56">
        <v>9</v>
      </c>
      <c r="B226" s="56" t="s">
        <v>193</v>
      </c>
      <c r="C226" s="62" t="s">
        <v>233</v>
      </c>
      <c r="D226" s="58" t="s">
        <v>44</v>
      </c>
      <c r="E226" s="58" t="s">
        <v>418</v>
      </c>
      <c r="F226" s="56" t="s">
        <v>60</v>
      </c>
      <c r="G226" s="56">
        <v>1</v>
      </c>
      <c r="H226" s="56" t="s">
        <v>222</v>
      </c>
      <c r="I226" s="56">
        <v>100</v>
      </c>
      <c r="J226" s="56">
        <v>0.5</v>
      </c>
      <c r="K226" s="56"/>
      <c r="L226" s="61">
        <f t="shared" si="45"/>
        <v>0.5</v>
      </c>
      <c r="M226" s="24">
        <f t="shared" si="56"/>
        <v>50</v>
      </c>
      <c r="N226" s="79"/>
      <c r="O226" s="56"/>
      <c r="P226" s="56">
        <f t="shared" si="49"/>
        <v>0</v>
      </c>
      <c r="Q226" s="56"/>
      <c r="R226" s="56">
        <f t="shared" si="55"/>
        <v>0</v>
      </c>
      <c r="S226" s="56"/>
      <c r="T226" s="56">
        <f t="shared" si="47"/>
        <v>0</v>
      </c>
      <c r="U226" s="59"/>
      <c r="V226" s="56">
        <f t="shared" si="50"/>
        <v>0</v>
      </c>
      <c r="W226" s="50"/>
      <c r="X226" s="50">
        <f t="shared" si="51"/>
        <v>0</v>
      </c>
      <c r="Y226" s="50"/>
      <c r="Z226" s="50">
        <f t="shared" si="53"/>
        <v>0</v>
      </c>
      <c r="AA226" s="50"/>
      <c r="AB226" s="50">
        <f t="shared" si="57"/>
        <v>0</v>
      </c>
      <c r="AC226" s="50"/>
      <c r="AD226" s="50">
        <f t="shared" si="52"/>
        <v>0</v>
      </c>
    </row>
    <row r="227" spans="1:30" ht="15.75" customHeight="1" x14ac:dyDescent="0.2">
      <c r="A227" s="56">
        <v>9</v>
      </c>
      <c r="B227" s="56" t="s">
        <v>193</v>
      </c>
      <c r="C227" s="62" t="s">
        <v>233</v>
      </c>
      <c r="D227" s="58" t="s">
        <v>17</v>
      </c>
      <c r="E227" s="58" t="s">
        <v>406</v>
      </c>
      <c r="F227" s="56" t="s">
        <v>242</v>
      </c>
      <c r="G227" s="56">
        <v>1</v>
      </c>
      <c r="H227" s="56" t="s">
        <v>29</v>
      </c>
      <c r="I227" s="56">
        <v>50</v>
      </c>
      <c r="J227" s="56">
        <v>1</v>
      </c>
      <c r="K227" s="56"/>
      <c r="L227" s="61">
        <f t="shared" si="45"/>
        <v>1</v>
      </c>
      <c r="M227" s="24">
        <f t="shared" si="56"/>
        <v>50</v>
      </c>
      <c r="N227" s="79" t="s">
        <v>372</v>
      </c>
      <c r="O227" s="56"/>
      <c r="P227" s="56"/>
      <c r="Q227" s="56"/>
      <c r="R227" s="56"/>
      <c r="S227" s="56"/>
      <c r="T227" s="56"/>
      <c r="U227" s="59"/>
      <c r="V227" s="56"/>
      <c r="W227" s="50"/>
      <c r="X227" s="50"/>
      <c r="Y227" s="50"/>
      <c r="Z227" s="50"/>
      <c r="AA227" s="50"/>
      <c r="AB227" s="50"/>
      <c r="AC227" s="50"/>
      <c r="AD227" s="50">
        <f t="shared" si="52"/>
        <v>0</v>
      </c>
    </row>
    <row r="228" spans="1:30" ht="15.75" customHeight="1" x14ac:dyDescent="0.2">
      <c r="A228" s="56">
        <v>9</v>
      </c>
      <c r="B228" s="56" t="s">
        <v>193</v>
      </c>
      <c r="C228" s="62" t="s">
        <v>233</v>
      </c>
      <c r="D228" s="58" t="s">
        <v>264</v>
      </c>
      <c r="E228" s="58" t="s">
        <v>424</v>
      </c>
      <c r="F228" s="56" t="s">
        <v>291</v>
      </c>
      <c r="G228" s="56">
        <v>1</v>
      </c>
      <c r="H228" s="56" t="s">
        <v>292</v>
      </c>
      <c r="I228" s="69">
        <v>2</v>
      </c>
      <c r="J228" s="69">
        <v>1</v>
      </c>
      <c r="K228" s="56"/>
      <c r="L228" s="61">
        <f t="shared" si="45"/>
        <v>1</v>
      </c>
      <c r="M228" s="24">
        <f t="shared" si="56"/>
        <v>2</v>
      </c>
      <c r="N228" s="79"/>
      <c r="O228" s="56">
        <v>0</v>
      </c>
      <c r="P228" s="56">
        <f t="shared" ref="P228:P241" si="58">(O228*M228)/I228</f>
        <v>0</v>
      </c>
      <c r="Q228" s="56">
        <v>0</v>
      </c>
      <c r="R228" s="56">
        <f t="shared" ref="R228:R243" si="59">(Q228*M228)/I228</f>
        <v>0</v>
      </c>
      <c r="S228" s="56">
        <v>0</v>
      </c>
      <c r="T228" s="56">
        <f t="shared" ref="T228:T243" si="60">(S228*M228)/I228</f>
        <v>0</v>
      </c>
      <c r="U228" s="59">
        <v>0</v>
      </c>
      <c r="V228" s="56">
        <f t="shared" ref="V228:V241" si="61">(U228*M228)/I228</f>
        <v>0</v>
      </c>
      <c r="W228" s="50">
        <v>0</v>
      </c>
      <c r="X228" s="50">
        <f t="shared" ref="X228:X243" si="62">(W228*M228)/I228</f>
        <v>0</v>
      </c>
      <c r="Y228" s="50">
        <v>0</v>
      </c>
      <c r="Z228" s="50">
        <f t="shared" ref="Z228:Z243" si="63">(Y228*M228)/I228</f>
        <v>0</v>
      </c>
      <c r="AA228" s="50">
        <v>0</v>
      </c>
      <c r="AB228" s="50">
        <f t="shared" ref="AB228:AB243" si="64">(AA228*M228)/I228</f>
        <v>0</v>
      </c>
      <c r="AC228" s="50">
        <v>0</v>
      </c>
      <c r="AD228" s="50">
        <f t="shared" si="52"/>
        <v>0</v>
      </c>
    </row>
    <row r="229" spans="1:30" ht="15.75" customHeight="1" x14ac:dyDescent="0.2">
      <c r="A229" s="56">
        <v>9</v>
      </c>
      <c r="B229" s="56" t="s">
        <v>193</v>
      </c>
      <c r="C229" s="62" t="s">
        <v>233</v>
      </c>
      <c r="D229" s="58" t="s">
        <v>17</v>
      </c>
      <c r="E229" s="58" t="s">
        <v>424</v>
      </c>
      <c r="F229" s="56" t="s">
        <v>275</v>
      </c>
      <c r="G229" s="56">
        <v>1</v>
      </c>
      <c r="H229" s="56" t="s">
        <v>262</v>
      </c>
      <c r="I229" s="56">
        <v>200</v>
      </c>
      <c r="J229" s="56">
        <v>1</v>
      </c>
      <c r="K229" s="56"/>
      <c r="L229" s="61">
        <f t="shared" si="45"/>
        <v>1</v>
      </c>
      <c r="M229" s="24">
        <f t="shared" si="56"/>
        <v>200</v>
      </c>
      <c r="N229" s="79" t="s">
        <v>423</v>
      </c>
      <c r="O229" s="56">
        <v>92</v>
      </c>
      <c r="P229" s="56">
        <f t="shared" si="58"/>
        <v>92</v>
      </c>
      <c r="Q229" s="56">
        <v>1.4</v>
      </c>
      <c r="R229" s="56">
        <f t="shared" si="59"/>
        <v>1.4</v>
      </c>
      <c r="S229" s="56">
        <v>20.8</v>
      </c>
      <c r="T229" s="56">
        <f t="shared" si="60"/>
        <v>20.8</v>
      </c>
      <c r="U229" s="59">
        <v>0.4</v>
      </c>
      <c r="V229" s="56">
        <f t="shared" si="61"/>
        <v>0.4</v>
      </c>
      <c r="W229" s="50">
        <v>0.4</v>
      </c>
      <c r="X229" s="50">
        <f t="shared" si="62"/>
        <v>0.4</v>
      </c>
      <c r="Y229" s="50">
        <v>22</v>
      </c>
      <c r="Z229" s="50">
        <f t="shared" si="63"/>
        <v>22</v>
      </c>
      <c r="AA229" s="50">
        <v>0.4</v>
      </c>
      <c r="AB229" s="50">
        <f t="shared" si="64"/>
        <v>0.4</v>
      </c>
      <c r="AC229" s="50">
        <v>2</v>
      </c>
      <c r="AD229" s="50">
        <f t="shared" si="52"/>
        <v>2</v>
      </c>
    </row>
    <row r="230" spans="1:30" ht="15.75" customHeight="1" x14ac:dyDescent="0.2">
      <c r="A230" s="56">
        <v>9</v>
      </c>
      <c r="B230" s="56" t="s">
        <v>193</v>
      </c>
      <c r="C230" s="62" t="s">
        <v>233</v>
      </c>
      <c r="D230" s="58" t="s">
        <v>44</v>
      </c>
      <c r="E230" s="58" t="s">
        <v>404</v>
      </c>
      <c r="F230" s="56" t="s">
        <v>355</v>
      </c>
      <c r="G230" s="56">
        <v>1</v>
      </c>
      <c r="H230" s="56" t="s">
        <v>262</v>
      </c>
      <c r="I230" s="56">
        <v>200</v>
      </c>
      <c r="J230" s="56">
        <v>1</v>
      </c>
      <c r="K230" s="56"/>
      <c r="L230" s="61">
        <f t="shared" si="45"/>
        <v>1</v>
      </c>
      <c r="M230" s="24">
        <f t="shared" si="56"/>
        <v>200</v>
      </c>
      <c r="N230" s="80" t="s">
        <v>432</v>
      </c>
      <c r="O230" s="56">
        <v>123</v>
      </c>
      <c r="P230" s="56">
        <f t="shared" si="58"/>
        <v>123</v>
      </c>
      <c r="Q230" s="56">
        <v>6.6</v>
      </c>
      <c r="R230" s="56">
        <f t="shared" si="59"/>
        <v>6.6</v>
      </c>
      <c r="S230" s="56">
        <v>9.4</v>
      </c>
      <c r="T230" s="56">
        <f t="shared" si="60"/>
        <v>9.4</v>
      </c>
      <c r="U230" s="59">
        <v>6.6</v>
      </c>
      <c r="V230" s="56">
        <f t="shared" si="61"/>
        <v>6.6</v>
      </c>
      <c r="W230" s="50">
        <v>0</v>
      </c>
      <c r="X230" s="50">
        <f t="shared" si="62"/>
        <v>0</v>
      </c>
      <c r="Y230" s="50">
        <v>238</v>
      </c>
      <c r="Z230" s="50">
        <f t="shared" si="63"/>
        <v>238</v>
      </c>
      <c r="AA230" s="50">
        <v>0.2</v>
      </c>
      <c r="AB230" s="50">
        <f t="shared" si="64"/>
        <v>0.2</v>
      </c>
      <c r="AC230" s="50">
        <v>98</v>
      </c>
      <c r="AD230" s="50">
        <f t="shared" si="52"/>
        <v>98</v>
      </c>
    </row>
    <row r="231" spans="1:30" ht="15.75" customHeight="1" x14ac:dyDescent="0.2">
      <c r="A231" s="56">
        <v>9</v>
      </c>
      <c r="B231" s="56" t="s">
        <v>193</v>
      </c>
      <c r="C231" s="62" t="s">
        <v>233</v>
      </c>
      <c r="D231" s="58" t="s">
        <v>97</v>
      </c>
      <c r="E231" s="58" t="s">
        <v>404</v>
      </c>
      <c r="F231" s="56" t="s">
        <v>355</v>
      </c>
      <c r="G231" s="56">
        <v>1</v>
      </c>
      <c r="H231" s="56" t="s">
        <v>262</v>
      </c>
      <c r="I231" s="56">
        <v>200</v>
      </c>
      <c r="J231" s="56">
        <v>1</v>
      </c>
      <c r="K231" s="56"/>
      <c r="L231" s="61">
        <f t="shared" si="45"/>
        <v>1</v>
      </c>
      <c r="M231" s="24">
        <f t="shared" si="56"/>
        <v>200</v>
      </c>
      <c r="N231" s="80" t="s">
        <v>432</v>
      </c>
      <c r="O231" s="56">
        <v>123</v>
      </c>
      <c r="P231" s="56">
        <f t="shared" si="58"/>
        <v>123</v>
      </c>
      <c r="Q231" s="56">
        <v>6.6</v>
      </c>
      <c r="R231" s="56">
        <f t="shared" si="59"/>
        <v>6.6</v>
      </c>
      <c r="S231" s="56">
        <v>9.4</v>
      </c>
      <c r="T231" s="56">
        <f t="shared" si="60"/>
        <v>9.4</v>
      </c>
      <c r="U231" s="59">
        <v>6.6</v>
      </c>
      <c r="V231" s="56">
        <f t="shared" si="61"/>
        <v>6.6</v>
      </c>
      <c r="W231" s="50">
        <v>0</v>
      </c>
      <c r="X231" s="50">
        <f t="shared" si="62"/>
        <v>0</v>
      </c>
      <c r="Y231" s="50">
        <v>238</v>
      </c>
      <c r="Z231" s="50">
        <f t="shared" si="63"/>
        <v>238</v>
      </c>
      <c r="AA231" s="50">
        <v>0.2</v>
      </c>
      <c r="AB231" s="50">
        <f t="shared" si="64"/>
        <v>0.2</v>
      </c>
      <c r="AC231" s="50">
        <v>98</v>
      </c>
      <c r="AD231" s="50">
        <f t="shared" si="52"/>
        <v>98</v>
      </c>
    </row>
    <row r="232" spans="1:30" ht="15.75" customHeight="1" x14ac:dyDescent="0.2">
      <c r="A232" s="56">
        <v>9</v>
      </c>
      <c r="B232" s="56" t="s">
        <v>193</v>
      </c>
      <c r="C232" s="62" t="s">
        <v>233</v>
      </c>
      <c r="D232" s="58" t="s">
        <v>264</v>
      </c>
      <c r="E232" s="58" t="s">
        <v>18</v>
      </c>
      <c r="F232" s="56" t="s">
        <v>381</v>
      </c>
      <c r="G232" s="56">
        <v>1</v>
      </c>
      <c r="H232" s="56" t="s">
        <v>53</v>
      </c>
      <c r="I232" s="56">
        <v>125</v>
      </c>
      <c r="J232" s="56">
        <v>1</v>
      </c>
      <c r="K232" s="56"/>
      <c r="L232" s="61">
        <f t="shared" ref="L232:L243" si="65">IF(J232=0,(K232/G232),J232)</f>
        <v>1</v>
      </c>
      <c r="M232" s="24">
        <f t="shared" si="56"/>
        <v>125</v>
      </c>
      <c r="N232" s="79"/>
      <c r="O232" s="56">
        <v>52</v>
      </c>
      <c r="P232" s="56">
        <f t="shared" si="58"/>
        <v>52</v>
      </c>
      <c r="Q232" s="56">
        <v>0.9</v>
      </c>
      <c r="R232" s="56">
        <f t="shared" si="59"/>
        <v>0.9</v>
      </c>
      <c r="S232" s="56">
        <v>11.9</v>
      </c>
      <c r="T232" s="56">
        <f t="shared" si="60"/>
        <v>11.9</v>
      </c>
      <c r="U232" s="59">
        <v>0.1</v>
      </c>
      <c r="V232" s="56">
        <f t="shared" si="61"/>
        <v>0.1</v>
      </c>
      <c r="W232" s="50">
        <v>2.9</v>
      </c>
      <c r="X232" s="50">
        <f t="shared" si="62"/>
        <v>2.9</v>
      </c>
      <c r="Y232" s="50">
        <v>30</v>
      </c>
      <c r="Z232" s="50">
        <f t="shared" si="63"/>
        <v>30</v>
      </c>
      <c r="AA232" s="50">
        <v>0.3</v>
      </c>
      <c r="AB232" s="50">
        <f t="shared" si="64"/>
        <v>0.3</v>
      </c>
      <c r="AC232" s="50">
        <v>1</v>
      </c>
      <c r="AD232" s="50">
        <f t="shared" si="52"/>
        <v>1</v>
      </c>
    </row>
    <row r="233" spans="1:30" ht="15.75" customHeight="1" x14ac:dyDescent="0.2">
      <c r="A233" s="56">
        <v>9</v>
      </c>
      <c r="B233" s="56" t="s">
        <v>193</v>
      </c>
      <c r="C233" s="62" t="s">
        <v>233</v>
      </c>
      <c r="D233" s="73" t="s">
        <v>236</v>
      </c>
      <c r="E233" s="58" t="s">
        <v>18</v>
      </c>
      <c r="F233" s="56" t="s">
        <v>119</v>
      </c>
      <c r="G233" s="56">
        <v>1</v>
      </c>
      <c r="H233" s="56" t="s">
        <v>71</v>
      </c>
      <c r="I233" s="56">
        <v>112</v>
      </c>
      <c r="J233" s="56">
        <v>0.5</v>
      </c>
      <c r="K233" s="56"/>
      <c r="L233" s="61">
        <f t="shared" si="65"/>
        <v>0.5</v>
      </c>
      <c r="M233" s="24">
        <f t="shared" si="56"/>
        <v>56</v>
      </c>
      <c r="N233" s="79"/>
      <c r="O233" s="56">
        <v>73</v>
      </c>
      <c r="P233" s="56">
        <f t="shared" si="58"/>
        <v>36.5</v>
      </c>
      <c r="Q233" s="56">
        <v>0.2</v>
      </c>
      <c r="R233" s="56">
        <f t="shared" si="59"/>
        <v>0.1</v>
      </c>
      <c r="S233" s="56">
        <v>17.100000000000001</v>
      </c>
      <c r="T233" s="56">
        <f t="shared" si="60"/>
        <v>8.5500000000000007</v>
      </c>
      <c r="U233" s="59">
        <v>0.4</v>
      </c>
      <c r="V233" s="56">
        <f t="shared" si="61"/>
        <v>0.2</v>
      </c>
      <c r="W233" s="50">
        <v>3</v>
      </c>
      <c r="X233" s="50">
        <f t="shared" si="62"/>
        <v>1.5</v>
      </c>
      <c r="Y233" s="50">
        <v>8</v>
      </c>
      <c r="Z233" s="50">
        <f t="shared" si="63"/>
        <v>4</v>
      </c>
      <c r="AA233" s="50">
        <v>0.2</v>
      </c>
      <c r="AB233" s="50">
        <f t="shared" si="64"/>
        <v>0.1</v>
      </c>
      <c r="AC233" s="50">
        <v>0</v>
      </c>
      <c r="AD233" s="50">
        <f t="shared" si="52"/>
        <v>0</v>
      </c>
    </row>
    <row r="234" spans="1:30" ht="15.75" customHeight="1" x14ac:dyDescent="0.2">
      <c r="A234" s="56">
        <v>9</v>
      </c>
      <c r="B234" s="56" t="s">
        <v>193</v>
      </c>
      <c r="C234" s="62" t="s">
        <v>233</v>
      </c>
      <c r="D234" s="58" t="s">
        <v>44</v>
      </c>
      <c r="E234" s="58" t="s">
        <v>410</v>
      </c>
      <c r="F234" s="56" t="s">
        <v>288</v>
      </c>
      <c r="G234" s="56">
        <v>1</v>
      </c>
      <c r="H234" s="56" t="s">
        <v>289</v>
      </c>
      <c r="I234" s="56">
        <v>125</v>
      </c>
      <c r="J234" s="56">
        <v>1</v>
      </c>
      <c r="K234" s="56"/>
      <c r="L234" s="61">
        <f t="shared" si="65"/>
        <v>1</v>
      </c>
      <c r="M234" s="24">
        <f t="shared" si="56"/>
        <v>125</v>
      </c>
      <c r="N234" s="79" t="s">
        <v>434</v>
      </c>
      <c r="O234" s="56">
        <v>103</v>
      </c>
      <c r="P234" s="56">
        <f t="shared" si="58"/>
        <v>103</v>
      </c>
      <c r="Q234" s="56">
        <v>2.9</v>
      </c>
      <c r="R234" s="56">
        <f t="shared" si="59"/>
        <v>2.9</v>
      </c>
      <c r="S234" s="56">
        <v>20.5</v>
      </c>
      <c r="T234" s="56">
        <f t="shared" si="60"/>
        <v>20.5</v>
      </c>
      <c r="U234" s="59">
        <v>1.1000000000000001</v>
      </c>
      <c r="V234" s="56">
        <f t="shared" si="61"/>
        <v>1.1000000000000001</v>
      </c>
      <c r="W234" s="50">
        <v>2.2000000000000002</v>
      </c>
      <c r="X234" s="50">
        <f t="shared" si="62"/>
        <v>2.2000000000000002</v>
      </c>
      <c r="Y234" s="50">
        <v>6</v>
      </c>
      <c r="Z234" s="50">
        <f t="shared" si="63"/>
        <v>6</v>
      </c>
      <c r="AA234" s="50">
        <v>1</v>
      </c>
      <c r="AB234" s="50">
        <f t="shared" si="64"/>
        <v>1</v>
      </c>
      <c r="AC234" s="50">
        <v>235</v>
      </c>
      <c r="AD234" s="50">
        <f t="shared" si="52"/>
        <v>235</v>
      </c>
    </row>
    <row r="235" spans="1:30" ht="15.75" customHeight="1" x14ac:dyDescent="0.2">
      <c r="A235" s="56">
        <v>9</v>
      </c>
      <c r="B235" s="56" t="s">
        <v>193</v>
      </c>
      <c r="C235" s="62" t="s">
        <v>233</v>
      </c>
      <c r="D235" s="58" t="s">
        <v>74</v>
      </c>
      <c r="E235" s="60" t="s">
        <v>410</v>
      </c>
      <c r="F235" s="56" t="s">
        <v>378</v>
      </c>
      <c r="G235" s="56">
        <v>0.5</v>
      </c>
      <c r="H235" s="56" t="s">
        <v>71</v>
      </c>
      <c r="I235" s="56">
        <v>25</v>
      </c>
      <c r="J235" s="56">
        <v>2</v>
      </c>
      <c r="K235" s="56"/>
      <c r="L235" s="61">
        <f t="shared" si="65"/>
        <v>2</v>
      </c>
      <c r="M235" s="24">
        <f t="shared" si="56"/>
        <v>50</v>
      </c>
      <c r="N235" s="79"/>
      <c r="O235" s="56">
        <v>68</v>
      </c>
      <c r="P235" s="56">
        <f t="shared" si="58"/>
        <v>136</v>
      </c>
      <c r="Q235" s="56">
        <v>2.2999999999999998</v>
      </c>
      <c r="R235" s="56">
        <f t="shared" si="59"/>
        <v>4.5999999999999996</v>
      </c>
      <c r="S235" s="56">
        <v>13.9</v>
      </c>
      <c r="T235" s="56">
        <f t="shared" si="60"/>
        <v>27.8</v>
      </c>
      <c r="U235" s="59">
        <v>0.3</v>
      </c>
      <c r="V235" s="56">
        <f t="shared" si="61"/>
        <v>0.6</v>
      </c>
      <c r="W235" s="50">
        <v>0.6</v>
      </c>
      <c r="X235" s="50">
        <f t="shared" si="62"/>
        <v>1.2</v>
      </c>
      <c r="Y235" s="50">
        <v>22</v>
      </c>
      <c r="Z235" s="50">
        <f t="shared" si="63"/>
        <v>44</v>
      </c>
      <c r="AA235" s="50">
        <v>0.7</v>
      </c>
      <c r="AB235" s="50">
        <f t="shared" si="64"/>
        <v>1.4</v>
      </c>
      <c r="AC235" s="50">
        <v>134</v>
      </c>
      <c r="AD235" s="50">
        <f t="shared" si="52"/>
        <v>268</v>
      </c>
    </row>
    <row r="236" spans="1:30" ht="15.75" customHeight="1" x14ac:dyDescent="0.2">
      <c r="A236" s="56">
        <v>9</v>
      </c>
      <c r="B236" s="56" t="s">
        <v>193</v>
      </c>
      <c r="C236" s="62" t="s">
        <v>233</v>
      </c>
      <c r="D236" s="58" t="s">
        <v>44</v>
      </c>
      <c r="E236" s="60" t="s">
        <v>410</v>
      </c>
      <c r="F236" s="56" t="s">
        <v>377</v>
      </c>
      <c r="G236" s="56">
        <v>3</v>
      </c>
      <c r="H236" s="56" t="s">
        <v>296</v>
      </c>
      <c r="I236" s="56">
        <v>105</v>
      </c>
      <c r="J236" s="56">
        <v>1</v>
      </c>
      <c r="K236" s="56"/>
      <c r="L236" s="61">
        <f t="shared" si="65"/>
        <v>1</v>
      </c>
      <c r="M236" s="24">
        <f t="shared" si="56"/>
        <v>105</v>
      </c>
      <c r="N236" s="79"/>
      <c r="O236" s="56">
        <v>93</v>
      </c>
      <c r="P236" s="56">
        <f t="shared" si="58"/>
        <v>93</v>
      </c>
      <c r="Q236" s="56">
        <v>2.7</v>
      </c>
      <c r="R236" s="56">
        <f t="shared" si="59"/>
        <v>2.7</v>
      </c>
      <c r="S236" s="56">
        <v>20.2</v>
      </c>
      <c r="T236" s="56">
        <f t="shared" si="60"/>
        <v>20.2</v>
      </c>
      <c r="U236" s="59">
        <v>0.1</v>
      </c>
      <c r="V236" s="56">
        <f t="shared" si="61"/>
        <v>0.1</v>
      </c>
      <c r="W236" s="50">
        <v>1.7</v>
      </c>
      <c r="X236" s="50">
        <f t="shared" si="62"/>
        <v>1.7</v>
      </c>
      <c r="Y236" s="50">
        <v>8</v>
      </c>
      <c r="Z236" s="50">
        <f t="shared" si="63"/>
        <v>8</v>
      </c>
      <c r="AA236" s="50">
        <v>0.6</v>
      </c>
      <c r="AB236" s="50">
        <f t="shared" si="64"/>
        <v>0.6</v>
      </c>
      <c r="AC236" s="50">
        <v>6</v>
      </c>
      <c r="AD236" s="50">
        <f t="shared" si="52"/>
        <v>6</v>
      </c>
    </row>
    <row r="237" spans="1:30" ht="15.75" customHeight="1" x14ac:dyDescent="0.2">
      <c r="A237" s="56">
        <v>9</v>
      </c>
      <c r="B237" s="56" t="s">
        <v>193</v>
      </c>
      <c r="C237" s="62" t="s">
        <v>233</v>
      </c>
      <c r="D237" s="73" t="s">
        <v>236</v>
      </c>
      <c r="E237" s="58" t="s">
        <v>18</v>
      </c>
      <c r="F237" s="56" t="s">
        <v>272</v>
      </c>
      <c r="G237" s="56">
        <v>1</v>
      </c>
      <c r="H237" s="56" t="s">
        <v>273</v>
      </c>
      <c r="I237" s="56">
        <v>128</v>
      </c>
      <c r="J237" s="56">
        <v>0.5</v>
      </c>
      <c r="K237" s="56"/>
      <c r="L237" s="61">
        <f t="shared" si="65"/>
        <v>0.5</v>
      </c>
      <c r="M237" s="24">
        <f t="shared" si="56"/>
        <v>64</v>
      </c>
      <c r="N237" s="79"/>
      <c r="O237" s="56">
        <v>54</v>
      </c>
      <c r="P237" s="56">
        <f t="shared" si="58"/>
        <v>27</v>
      </c>
      <c r="Q237" s="56">
        <v>0.8</v>
      </c>
      <c r="R237" s="56">
        <f t="shared" si="59"/>
        <v>0.4</v>
      </c>
      <c r="S237" s="56">
        <v>12.5</v>
      </c>
      <c r="T237" s="56">
        <f t="shared" si="60"/>
        <v>6.25</v>
      </c>
      <c r="U237" s="59">
        <v>0.1</v>
      </c>
      <c r="V237" s="56">
        <f t="shared" si="61"/>
        <v>0.05</v>
      </c>
      <c r="W237" s="50">
        <v>2.2999999999999998</v>
      </c>
      <c r="X237" s="50">
        <f t="shared" si="62"/>
        <v>1.1499999999999999</v>
      </c>
      <c r="Y237" s="50">
        <v>31</v>
      </c>
      <c r="Z237" s="50">
        <f t="shared" si="63"/>
        <v>15.5</v>
      </c>
      <c r="AA237" s="50">
        <v>0.1</v>
      </c>
      <c r="AB237" s="50">
        <f t="shared" si="64"/>
        <v>0.05</v>
      </c>
      <c r="AC237" s="50">
        <v>4</v>
      </c>
      <c r="AD237" s="50">
        <f t="shared" si="52"/>
        <v>2</v>
      </c>
    </row>
    <row r="238" spans="1:30" ht="15.75" customHeight="1" x14ac:dyDescent="0.2">
      <c r="A238" s="56">
        <v>9</v>
      </c>
      <c r="B238" s="56" t="s">
        <v>193</v>
      </c>
      <c r="C238" s="62" t="s">
        <v>233</v>
      </c>
      <c r="D238" s="73" t="s">
        <v>236</v>
      </c>
      <c r="E238" s="58" t="s">
        <v>18</v>
      </c>
      <c r="F238" s="56" t="s">
        <v>117</v>
      </c>
      <c r="G238" s="56">
        <v>1</v>
      </c>
      <c r="H238" s="56" t="s">
        <v>118</v>
      </c>
      <c r="I238" s="56">
        <v>110</v>
      </c>
      <c r="J238" s="56">
        <v>0.5</v>
      </c>
      <c r="K238" s="56"/>
      <c r="L238" s="61">
        <f t="shared" si="65"/>
        <v>0.5</v>
      </c>
      <c r="M238" s="24">
        <f t="shared" si="56"/>
        <v>55</v>
      </c>
      <c r="N238" s="79"/>
      <c r="O238" s="56">
        <v>60</v>
      </c>
      <c r="P238" s="56">
        <f t="shared" si="58"/>
        <v>30</v>
      </c>
      <c r="Q238" s="56">
        <v>0.4</v>
      </c>
      <c r="R238" s="56">
        <f t="shared" si="59"/>
        <v>0.2</v>
      </c>
      <c r="S238" s="56">
        <v>13.6</v>
      </c>
      <c r="T238" s="56">
        <f t="shared" si="60"/>
        <v>6.8</v>
      </c>
      <c r="U238" s="59">
        <v>0.4</v>
      </c>
      <c r="V238" s="56">
        <f t="shared" si="61"/>
        <v>0.2</v>
      </c>
      <c r="W238" s="50">
        <v>1.3</v>
      </c>
      <c r="X238" s="50">
        <f t="shared" si="62"/>
        <v>0.65</v>
      </c>
      <c r="Y238" s="50">
        <v>8</v>
      </c>
      <c r="Z238" s="50">
        <f t="shared" si="63"/>
        <v>4</v>
      </c>
      <c r="AA238" s="50">
        <v>0.4</v>
      </c>
      <c r="AB238" s="50">
        <f t="shared" si="64"/>
        <v>0.2</v>
      </c>
      <c r="AC238" s="50">
        <v>1</v>
      </c>
      <c r="AD238" s="50">
        <f t="shared" si="52"/>
        <v>0.5</v>
      </c>
    </row>
    <row r="239" spans="1:30" ht="15.75" customHeight="1" x14ac:dyDescent="0.2">
      <c r="A239" s="56">
        <v>9</v>
      </c>
      <c r="B239" s="56" t="s">
        <v>193</v>
      </c>
      <c r="C239" s="62" t="s">
        <v>233</v>
      </c>
      <c r="D239" s="58" t="s">
        <v>44</v>
      </c>
      <c r="E239" s="60" t="s">
        <v>410</v>
      </c>
      <c r="F239" s="56" t="s">
        <v>341</v>
      </c>
      <c r="G239" s="56">
        <v>0.25</v>
      </c>
      <c r="H239" s="56" t="s">
        <v>20</v>
      </c>
      <c r="I239" s="69">
        <v>66</v>
      </c>
      <c r="J239" s="69">
        <v>1</v>
      </c>
      <c r="K239" s="56"/>
      <c r="L239" s="61">
        <f t="shared" si="65"/>
        <v>1</v>
      </c>
      <c r="M239" s="24">
        <f t="shared" si="56"/>
        <v>66</v>
      </c>
      <c r="N239" s="79"/>
      <c r="O239" s="56">
        <v>101</v>
      </c>
      <c r="P239" s="56">
        <f t="shared" si="58"/>
        <v>101</v>
      </c>
      <c r="Q239" s="56">
        <v>0.7</v>
      </c>
      <c r="R239" s="56">
        <f t="shared" si="59"/>
        <v>0.7</v>
      </c>
      <c r="S239" s="56">
        <v>24</v>
      </c>
      <c r="T239" s="56">
        <f t="shared" si="60"/>
        <v>24</v>
      </c>
      <c r="U239" s="59">
        <v>0.3</v>
      </c>
      <c r="V239" s="56">
        <f t="shared" si="61"/>
        <v>0.3</v>
      </c>
      <c r="W239" s="50">
        <v>1.5</v>
      </c>
      <c r="X239" s="50">
        <f t="shared" si="62"/>
        <v>1.5</v>
      </c>
      <c r="Y239" s="50">
        <v>3</v>
      </c>
      <c r="Z239" s="50">
        <f t="shared" si="63"/>
        <v>3</v>
      </c>
      <c r="AA239" s="50">
        <v>0.3</v>
      </c>
      <c r="AB239" s="50">
        <f t="shared" si="64"/>
        <v>0.3</v>
      </c>
      <c r="AC239" s="50">
        <v>3</v>
      </c>
      <c r="AD239" s="50">
        <f t="shared" si="52"/>
        <v>3</v>
      </c>
    </row>
    <row r="240" spans="1:30" ht="15.75" customHeight="1" x14ac:dyDescent="0.2">
      <c r="A240" s="56">
        <v>9</v>
      </c>
      <c r="B240" s="56" t="s">
        <v>193</v>
      </c>
      <c r="C240" s="62" t="s">
        <v>233</v>
      </c>
      <c r="D240" s="58" t="s">
        <v>44</v>
      </c>
      <c r="E240" s="60" t="s">
        <v>410</v>
      </c>
      <c r="F240" s="56" t="s">
        <v>376</v>
      </c>
      <c r="G240" s="56">
        <v>0.5</v>
      </c>
      <c r="H240" s="56" t="s">
        <v>53</v>
      </c>
      <c r="I240" s="56">
        <v>72</v>
      </c>
      <c r="J240" s="56">
        <v>1</v>
      </c>
      <c r="K240" s="56"/>
      <c r="L240" s="61">
        <f t="shared" si="65"/>
        <v>1</v>
      </c>
      <c r="M240" s="24">
        <f t="shared" si="56"/>
        <v>72</v>
      </c>
      <c r="N240" s="79"/>
      <c r="O240" s="56">
        <v>101</v>
      </c>
      <c r="P240" s="56">
        <f t="shared" si="58"/>
        <v>101</v>
      </c>
      <c r="Q240" s="56">
        <v>0.7</v>
      </c>
      <c r="R240" s="56">
        <f t="shared" si="59"/>
        <v>0.7</v>
      </c>
      <c r="S240" s="56">
        <v>24</v>
      </c>
      <c r="T240" s="56">
        <f t="shared" si="60"/>
        <v>24</v>
      </c>
      <c r="U240" s="59">
        <v>0.3</v>
      </c>
      <c r="V240" s="56">
        <f t="shared" si="61"/>
        <v>0.3</v>
      </c>
      <c r="W240" s="50">
        <v>1.5</v>
      </c>
      <c r="X240" s="50">
        <f t="shared" si="62"/>
        <v>1.5</v>
      </c>
      <c r="Y240" s="50">
        <v>3</v>
      </c>
      <c r="Z240" s="50">
        <f t="shared" si="63"/>
        <v>3</v>
      </c>
      <c r="AA240" s="50">
        <v>0.3</v>
      </c>
      <c r="AB240" s="50">
        <f t="shared" si="64"/>
        <v>0.3</v>
      </c>
      <c r="AC240" s="50">
        <v>3</v>
      </c>
      <c r="AD240" s="50">
        <f t="shared" si="52"/>
        <v>3</v>
      </c>
    </row>
    <row r="241" spans="1:30" ht="15.75" customHeight="1" x14ac:dyDescent="0.2">
      <c r="A241" s="56">
        <v>9</v>
      </c>
      <c r="B241" s="56" t="s">
        <v>193</v>
      </c>
      <c r="C241" s="62" t="s">
        <v>233</v>
      </c>
      <c r="D241" s="58" t="s">
        <v>17</v>
      </c>
      <c r="E241" s="58" t="s">
        <v>406</v>
      </c>
      <c r="F241" s="56" t="s">
        <v>240</v>
      </c>
      <c r="G241" s="56">
        <v>1</v>
      </c>
      <c r="H241" s="56" t="s">
        <v>310</v>
      </c>
      <c r="I241" s="56">
        <v>30</v>
      </c>
      <c r="J241" s="56">
        <v>1</v>
      </c>
      <c r="K241" s="56"/>
      <c r="L241" s="61">
        <f t="shared" si="65"/>
        <v>1</v>
      </c>
      <c r="M241" s="24">
        <f t="shared" si="56"/>
        <v>30</v>
      </c>
      <c r="N241" s="79"/>
      <c r="O241" s="56">
        <v>83</v>
      </c>
      <c r="P241" s="56">
        <f t="shared" si="58"/>
        <v>83</v>
      </c>
      <c r="Q241" s="56">
        <v>6.5</v>
      </c>
      <c r="R241" s="56">
        <f t="shared" si="59"/>
        <v>6.5</v>
      </c>
      <c r="S241" s="56">
        <v>1.5</v>
      </c>
      <c r="T241" s="56">
        <f t="shared" si="60"/>
        <v>1.5</v>
      </c>
      <c r="U241" s="59">
        <v>5.7</v>
      </c>
      <c r="V241" s="56">
        <f t="shared" si="61"/>
        <v>5.7</v>
      </c>
      <c r="W241" s="50">
        <v>0</v>
      </c>
      <c r="X241" s="50">
        <f t="shared" si="62"/>
        <v>0</v>
      </c>
      <c r="Y241" s="50">
        <v>207</v>
      </c>
      <c r="Z241" s="50">
        <f t="shared" si="63"/>
        <v>207</v>
      </c>
      <c r="AA241" s="50">
        <v>0.2</v>
      </c>
      <c r="AB241" s="50">
        <f t="shared" si="64"/>
        <v>0.2</v>
      </c>
      <c r="AC241" s="50">
        <v>112</v>
      </c>
      <c r="AD241" s="50">
        <f t="shared" si="52"/>
        <v>112</v>
      </c>
    </row>
    <row r="242" spans="1:30" ht="15.75" customHeight="1" x14ac:dyDescent="0.2">
      <c r="A242" s="56">
        <v>9</v>
      </c>
      <c r="B242" s="56" t="s">
        <v>193</v>
      </c>
      <c r="C242" s="62" t="s">
        <v>233</v>
      </c>
      <c r="D242" s="58" t="s">
        <v>74</v>
      </c>
      <c r="E242" s="58" t="s">
        <v>406</v>
      </c>
      <c r="F242" s="56" t="s">
        <v>240</v>
      </c>
      <c r="G242" s="56">
        <v>1</v>
      </c>
      <c r="H242" s="56" t="s">
        <v>310</v>
      </c>
      <c r="I242" s="56">
        <v>30</v>
      </c>
      <c r="J242" s="56">
        <v>1</v>
      </c>
      <c r="K242" s="56"/>
      <c r="L242" s="61">
        <f t="shared" si="65"/>
        <v>1</v>
      </c>
      <c r="M242" s="24">
        <f t="shared" si="56"/>
        <v>30</v>
      </c>
      <c r="N242" s="79"/>
      <c r="O242" s="56">
        <v>83</v>
      </c>
      <c r="P242" s="56">
        <v>83</v>
      </c>
      <c r="Q242" s="56">
        <v>6.5</v>
      </c>
      <c r="R242" s="56">
        <f t="shared" si="59"/>
        <v>6.5</v>
      </c>
      <c r="S242" s="56">
        <v>1.5</v>
      </c>
      <c r="T242" s="56">
        <f t="shared" si="60"/>
        <v>1.5</v>
      </c>
      <c r="U242" s="59">
        <v>5.7</v>
      </c>
      <c r="V242" s="56">
        <v>5.7</v>
      </c>
      <c r="W242" s="50">
        <v>0</v>
      </c>
      <c r="X242" s="50">
        <f t="shared" si="62"/>
        <v>0</v>
      </c>
      <c r="Y242" s="50">
        <v>207</v>
      </c>
      <c r="Z242" s="50">
        <f t="shared" si="63"/>
        <v>207</v>
      </c>
      <c r="AA242" s="50">
        <v>0.2</v>
      </c>
      <c r="AB242" s="50">
        <f t="shared" si="64"/>
        <v>0.2</v>
      </c>
      <c r="AC242" s="50">
        <v>112</v>
      </c>
      <c r="AD242" s="50">
        <f t="shared" si="52"/>
        <v>112</v>
      </c>
    </row>
    <row r="243" spans="1:30" ht="15.75" customHeight="1" x14ac:dyDescent="0.2">
      <c r="A243" s="56">
        <v>9</v>
      </c>
      <c r="B243" s="56" t="s">
        <v>193</v>
      </c>
      <c r="C243" s="62" t="s">
        <v>233</v>
      </c>
      <c r="D243" s="58" t="s">
        <v>44</v>
      </c>
      <c r="E243" s="58" t="s">
        <v>418</v>
      </c>
      <c r="F243" s="56" t="s">
        <v>67</v>
      </c>
      <c r="G243" s="56">
        <v>0.5</v>
      </c>
      <c r="H243" s="56" t="s">
        <v>366</v>
      </c>
      <c r="I243" s="56">
        <v>58</v>
      </c>
      <c r="J243" s="56">
        <v>1</v>
      </c>
      <c r="K243" s="56"/>
      <c r="L243" s="61">
        <f t="shared" si="65"/>
        <v>1</v>
      </c>
      <c r="M243" s="24">
        <f t="shared" si="56"/>
        <v>58</v>
      </c>
      <c r="N243" s="81" t="s">
        <v>420</v>
      </c>
      <c r="O243" s="56">
        <v>27</v>
      </c>
      <c r="P243" s="56">
        <f>(O243*M243)/I243</f>
        <v>27</v>
      </c>
      <c r="Q243" s="56">
        <v>0.6</v>
      </c>
      <c r="R243" s="56">
        <f t="shared" si="59"/>
        <v>0.6</v>
      </c>
      <c r="S243" s="56">
        <v>5.9</v>
      </c>
      <c r="T243" s="56">
        <f t="shared" si="60"/>
        <v>5.9</v>
      </c>
      <c r="U243" s="59">
        <v>0.1</v>
      </c>
      <c r="V243" s="56">
        <f>(U243*M243)/I243</f>
        <v>0.1</v>
      </c>
      <c r="W243" s="50">
        <v>1.7</v>
      </c>
      <c r="X243" s="50">
        <f t="shared" si="62"/>
        <v>1.7</v>
      </c>
      <c r="Y243" s="50">
        <v>16</v>
      </c>
      <c r="Z243" s="50">
        <f t="shared" si="63"/>
        <v>16</v>
      </c>
      <c r="AA243" s="50">
        <v>0.3</v>
      </c>
      <c r="AB243" s="50">
        <f t="shared" si="64"/>
        <v>0.3</v>
      </c>
      <c r="AC243" s="50">
        <v>20</v>
      </c>
      <c r="AD243" s="50">
        <f t="shared" si="52"/>
        <v>20</v>
      </c>
    </row>
  </sheetData>
  <sortState xmlns:xlrd2="http://schemas.microsoft.com/office/spreadsheetml/2017/richdata2" ref="A2:AD243">
    <sortCondition ref="A2:A243"/>
  </sortState>
  <conditionalFormatting sqref="A1:AC243">
    <cfRule type="containsBlanks" dxfId="0" priority="2" stopIfTrue="1">
      <formula>LEN(TRIM(A1))=0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61BB0-E296-9641-9989-AAC5A485208E}">
  <dimension ref="A1:AC18"/>
  <sheetViews>
    <sheetView zoomScale="150" zoomScaleNormal="150" workbookViewId="0">
      <selection activeCell="J14" sqref="J14"/>
    </sheetView>
  </sheetViews>
  <sheetFormatPr baseColWidth="10" defaultRowHeight="16" x14ac:dyDescent="0.2"/>
  <cols>
    <col min="2" max="2" width="15" customWidth="1"/>
    <col min="3" max="3" width="13.83203125" customWidth="1"/>
    <col min="4" max="4" width="14.1640625" bestFit="1" customWidth="1"/>
    <col min="5" max="5" width="12.6640625" bestFit="1" customWidth="1"/>
    <col min="6" max="6" width="14" customWidth="1"/>
    <col min="7" max="7" width="14" bestFit="1" customWidth="1"/>
    <col min="8" max="8" width="13.33203125" bestFit="1" customWidth="1"/>
    <col min="9" max="9" width="12.1640625" bestFit="1" customWidth="1"/>
    <col min="10" max="10" width="14.6640625" bestFit="1" customWidth="1"/>
    <col min="11" max="11" width="12" bestFit="1" customWidth="1"/>
    <col min="12" max="12" width="14.6640625" bestFit="1" customWidth="1"/>
    <col min="13" max="13" width="13.83203125" bestFit="1" customWidth="1"/>
    <col min="14" max="14" width="14.6640625" customWidth="1"/>
    <col min="15" max="15" width="14.6640625" bestFit="1" customWidth="1"/>
    <col min="16" max="16" width="13.83203125" bestFit="1" customWidth="1"/>
    <col min="17" max="17" width="13.1640625" bestFit="1" customWidth="1"/>
    <col min="18" max="18" width="13.6640625" customWidth="1"/>
    <col min="19" max="19" width="12.6640625" customWidth="1"/>
    <col min="20" max="20" width="12.6640625" bestFit="1" customWidth="1"/>
    <col min="21" max="21" width="12" bestFit="1" customWidth="1"/>
    <col min="22" max="22" width="14.5" bestFit="1" customWidth="1"/>
    <col min="25" max="25" width="13.6640625" customWidth="1"/>
    <col min="26" max="26" width="12.6640625" bestFit="1" customWidth="1"/>
    <col min="27" max="27" width="11.6640625" customWidth="1"/>
    <col min="29" max="29" width="14.5" bestFit="1" customWidth="1"/>
  </cols>
  <sheetData>
    <row r="1" spans="1:29" x14ac:dyDescent="0.2">
      <c r="B1" s="112" t="s">
        <v>468</v>
      </c>
      <c r="C1" s="113"/>
      <c r="D1" s="113"/>
      <c r="E1" s="113"/>
      <c r="F1" s="114"/>
      <c r="G1" s="111" t="s">
        <v>472</v>
      </c>
      <c r="H1" s="111"/>
      <c r="I1" s="111"/>
      <c r="J1" s="111"/>
      <c r="K1" s="111" t="s">
        <v>473</v>
      </c>
      <c r="L1" s="111"/>
      <c r="M1" s="111"/>
      <c r="N1" s="111"/>
      <c r="O1" s="111" t="s">
        <v>474</v>
      </c>
      <c r="P1" s="111"/>
      <c r="Q1" s="111"/>
      <c r="R1" s="111"/>
      <c r="S1" s="111" t="s">
        <v>457</v>
      </c>
      <c r="T1" s="111"/>
      <c r="U1" s="111"/>
      <c r="V1" s="111"/>
      <c r="W1" s="111" t="s">
        <v>475</v>
      </c>
      <c r="X1" s="111"/>
      <c r="Y1" s="111"/>
      <c r="Z1" s="111" t="s">
        <v>476</v>
      </c>
      <c r="AA1" s="111"/>
      <c r="AB1" s="111"/>
      <c r="AC1" s="111"/>
    </row>
    <row r="2" spans="1:29" x14ac:dyDescent="0.2">
      <c r="B2" s="111" t="s">
        <v>469</v>
      </c>
      <c r="C2" s="111"/>
      <c r="D2" s="111"/>
      <c r="E2" s="84" t="s">
        <v>470</v>
      </c>
      <c r="F2" s="93" t="s">
        <v>471</v>
      </c>
      <c r="G2" s="111" t="s">
        <v>469</v>
      </c>
      <c r="H2" s="111"/>
      <c r="I2" s="84" t="s">
        <v>470</v>
      </c>
      <c r="J2" s="89" t="s">
        <v>471</v>
      </c>
      <c r="K2" s="111" t="s">
        <v>469</v>
      </c>
      <c r="L2" s="111"/>
      <c r="M2" s="84" t="s">
        <v>470</v>
      </c>
      <c r="N2" s="89" t="s">
        <v>471</v>
      </c>
      <c r="O2" s="111" t="s">
        <v>469</v>
      </c>
      <c r="P2" s="111"/>
      <c r="Q2" s="84" t="s">
        <v>470</v>
      </c>
      <c r="R2" s="89" t="s">
        <v>471</v>
      </c>
      <c r="S2" s="111" t="s">
        <v>469</v>
      </c>
      <c r="T2" s="111"/>
      <c r="U2" s="84" t="s">
        <v>470</v>
      </c>
      <c r="V2" s="89" t="s">
        <v>471</v>
      </c>
      <c r="W2" s="84" t="s">
        <v>469</v>
      </c>
      <c r="X2" s="84" t="s">
        <v>470</v>
      </c>
      <c r="Y2" s="89" t="s">
        <v>471</v>
      </c>
      <c r="Z2" s="111" t="s">
        <v>469</v>
      </c>
      <c r="AA2" s="111"/>
      <c r="AB2" s="84" t="s">
        <v>470</v>
      </c>
      <c r="AC2" s="89" t="s">
        <v>471</v>
      </c>
    </row>
    <row r="3" spans="1:29" x14ac:dyDescent="0.2">
      <c r="A3" s="83" t="s">
        <v>6</v>
      </c>
      <c r="B3" s="24" t="s">
        <v>447</v>
      </c>
      <c r="C3" s="24" t="s">
        <v>448</v>
      </c>
      <c r="D3" s="24" t="s">
        <v>449</v>
      </c>
      <c r="E3" s="85" t="s">
        <v>450</v>
      </c>
      <c r="F3" s="95"/>
      <c r="G3" s="1" t="s">
        <v>451</v>
      </c>
      <c r="H3" s="1" t="s">
        <v>452</v>
      </c>
      <c r="I3" s="1" t="s">
        <v>462</v>
      </c>
      <c r="J3" s="89"/>
      <c r="K3" s="1" t="s">
        <v>453</v>
      </c>
      <c r="L3" s="1" t="s">
        <v>454</v>
      </c>
      <c r="M3" s="1" t="s">
        <v>463</v>
      </c>
      <c r="N3" s="89"/>
      <c r="O3" s="1" t="s">
        <v>455</v>
      </c>
      <c r="P3" s="1" t="s">
        <v>456</v>
      </c>
      <c r="Q3" s="1" t="s">
        <v>464</v>
      </c>
      <c r="R3" s="89"/>
      <c r="S3" s="1" t="s">
        <v>457</v>
      </c>
      <c r="T3" s="1" t="s">
        <v>458</v>
      </c>
      <c r="U3" s="1" t="s">
        <v>465</v>
      </c>
      <c r="V3" s="89"/>
      <c r="W3" s="1" t="s">
        <v>459</v>
      </c>
      <c r="X3" s="1" t="s">
        <v>466</v>
      </c>
      <c r="Y3" s="89"/>
      <c r="Z3" s="24" t="s">
        <v>460</v>
      </c>
      <c r="AA3" s="24" t="s">
        <v>461</v>
      </c>
      <c r="AB3" s="24" t="s">
        <v>467</v>
      </c>
      <c r="AC3" s="89"/>
    </row>
    <row r="4" spans="1:29" x14ac:dyDescent="0.2">
      <c r="A4" s="83" t="s">
        <v>159</v>
      </c>
      <c r="B4" s="1">
        <v>2650</v>
      </c>
      <c r="C4" s="1">
        <v>2100</v>
      </c>
      <c r="D4" s="1"/>
      <c r="E4" s="1" t="e">
        <f>AVERAGE(B10,B13,B16)</f>
        <v>#DIV/0!</v>
      </c>
      <c r="F4" s="1" t="e">
        <f>D4-E4</f>
        <v>#DIV/0!</v>
      </c>
      <c r="G4" s="1">
        <v>99.5</v>
      </c>
      <c r="H4" s="1">
        <v>78.7</v>
      </c>
      <c r="I4" s="1" t="e">
        <f>AVERAGE(C10,C13,C16)</f>
        <v>#DIV/0!</v>
      </c>
      <c r="J4" s="1"/>
      <c r="K4" s="1">
        <v>88.3</v>
      </c>
      <c r="L4" s="1">
        <v>70</v>
      </c>
      <c r="M4" s="1" t="e">
        <f>AVERAGE(D10,D13,D16)</f>
        <v>#DIV/0!</v>
      </c>
      <c r="N4" s="1"/>
      <c r="O4" s="1">
        <v>364.5</v>
      </c>
      <c r="P4" s="1">
        <v>288.7</v>
      </c>
      <c r="Q4" s="1" t="e">
        <f>AVERAGE(E10,E13,E16)</f>
        <v>#DIV/0!</v>
      </c>
      <c r="R4" s="1"/>
      <c r="S4" s="1">
        <v>37</v>
      </c>
      <c r="T4" s="1">
        <v>29</v>
      </c>
      <c r="U4" s="1" t="e">
        <f>AVERAGE(F10,F13,F16)</f>
        <v>#DIV/0!</v>
      </c>
      <c r="V4" s="1"/>
      <c r="W4" s="1">
        <v>1000</v>
      </c>
      <c r="X4" s="1" t="e">
        <f>AVERAGE(G10,G13,G16)</f>
        <v>#DIV/0!</v>
      </c>
      <c r="Y4" s="1"/>
      <c r="Z4" s="24">
        <v>13</v>
      </c>
      <c r="AA4" s="24">
        <v>27</v>
      </c>
      <c r="AB4" s="24" t="e">
        <f>AVERAGE(H10,H13,H16)</f>
        <v>#DIV/0!</v>
      </c>
      <c r="AC4" s="24"/>
    </row>
    <row r="5" spans="1:29" x14ac:dyDescent="0.2">
      <c r="A5" s="83" t="s">
        <v>438</v>
      </c>
      <c r="B5" s="1">
        <v>2650</v>
      </c>
      <c r="C5" s="1">
        <v>2100</v>
      </c>
      <c r="D5" s="1"/>
      <c r="E5" s="1" t="e">
        <f t="shared" ref="E5:E6" si="0">AVERAGE(B11,B14,B17)</f>
        <v>#DIV/0!</v>
      </c>
      <c r="F5" s="1" t="e">
        <f t="shared" ref="F5:F6" si="1">D5-E5</f>
        <v>#DIV/0!</v>
      </c>
      <c r="G5" s="1">
        <v>99.5</v>
      </c>
      <c r="H5" s="1">
        <v>78.7</v>
      </c>
      <c r="I5" s="1" t="e">
        <f>AVERAGE(C11,C14,C17)</f>
        <v>#DIV/0!</v>
      </c>
      <c r="J5" s="1"/>
      <c r="K5" s="1">
        <v>88.3</v>
      </c>
      <c r="L5" s="1">
        <v>70</v>
      </c>
      <c r="M5" s="1" t="e">
        <f>AVERAGE(D11,D14,D17)</f>
        <v>#DIV/0!</v>
      </c>
      <c r="N5" s="1"/>
      <c r="O5" s="1">
        <v>364.5</v>
      </c>
      <c r="P5" s="1">
        <v>288.7</v>
      </c>
      <c r="Q5" s="1" t="e">
        <f>AVERAGE(E11,E14,E17)</f>
        <v>#DIV/0!</v>
      </c>
      <c r="R5" s="1"/>
      <c r="S5" s="1">
        <v>37</v>
      </c>
      <c r="T5" s="1">
        <v>29</v>
      </c>
      <c r="U5" s="1" t="e">
        <f>AVERAGE(F11,F14,F17)</f>
        <v>#DIV/0!</v>
      </c>
      <c r="V5" s="1"/>
      <c r="W5" s="1">
        <v>1000</v>
      </c>
      <c r="X5" s="1" t="e">
        <f>AVERAGE(G11,G14,G17)</f>
        <v>#DIV/0!</v>
      </c>
      <c r="Y5" s="1"/>
      <c r="Z5" s="24">
        <v>13</v>
      </c>
      <c r="AA5" s="24">
        <v>27</v>
      </c>
      <c r="AB5" s="24" t="e">
        <f>AVERAGE(H11,H14,H17)</f>
        <v>#DIV/0!</v>
      </c>
      <c r="AC5" s="24"/>
    </row>
    <row r="6" spans="1:29" x14ac:dyDescent="0.2">
      <c r="A6" s="83" t="s">
        <v>439</v>
      </c>
      <c r="B6" s="1">
        <v>2172</v>
      </c>
      <c r="C6" s="1">
        <v>1895</v>
      </c>
      <c r="D6" s="1">
        <v>2000</v>
      </c>
      <c r="E6" s="1">
        <f t="shared" si="0"/>
        <v>1669.5877777777778</v>
      </c>
      <c r="F6" s="1">
        <f t="shared" si="1"/>
        <v>330.41222222222223</v>
      </c>
      <c r="G6" s="1">
        <v>75</v>
      </c>
      <c r="H6" s="1">
        <v>75</v>
      </c>
      <c r="I6" s="1">
        <f>AVERAGE(C12,C15,C18)</f>
        <v>76.868444444444449</v>
      </c>
      <c r="J6" s="1"/>
      <c r="K6" s="1">
        <v>66.7</v>
      </c>
      <c r="L6" s="1">
        <v>66.7</v>
      </c>
      <c r="M6" s="1">
        <f>AVERAGE(D12,D15,D18)</f>
        <v>44.027666666666654</v>
      </c>
      <c r="N6" s="1"/>
      <c r="O6" s="1">
        <v>275</v>
      </c>
      <c r="P6" s="1">
        <v>275</v>
      </c>
      <c r="Q6" s="1">
        <f>AVERAGE(E12,E15,E18)</f>
        <v>241.96166666666667</v>
      </c>
      <c r="R6" s="1"/>
      <c r="S6" s="1">
        <v>28</v>
      </c>
      <c r="T6" s="1">
        <v>28</v>
      </c>
      <c r="U6" s="1">
        <f>AVERAGE(F12,F15,F18)</f>
        <v>31.717444444444443</v>
      </c>
      <c r="V6" s="1"/>
      <c r="W6" s="1">
        <v>1150</v>
      </c>
      <c r="X6" s="1">
        <f>AVERAGE(G12,G15,G18)</f>
        <v>661.52266666666662</v>
      </c>
      <c r="Y6" s="1"/>
      <c r="Z6" s="24">
        <v>13</v>
      </c>
      <c r="AA6" s="24">
        <v>13</v>
      </c>
      <c r="AB6" s="24">
        <f>AVERAGE(H12,H15,H18)</f>
        <v>10.185777777777778</v>
      </c>
      <c r="AC6" s="24"/>
    </row>
    <row r="9" spans="1:29" x14ac:dyDescent="0.2">
      <c r="A9" s="1" t="s">
        <v>130</v>
      </c>
      <c r="B9" s="1" t="s">
        <v>440</v>
      </c>
      <c r="C9" s="1" t="s">
        <v>441</v>
      </c>
      <c r="D9" s="1" t="s">
        <v>442</v>
      </c>
      <c r="E9" s="1" t="s">
        <v>443</v>
      </c>
      <c r="F9" s="1" t="s">
        <v>444</v>
      </c>
      <c r="G9" s="1" t="s">
        <v>445</v>
      </c>
      <c r="H9" s="1" t="s">
        <v>446</v>
      </c>
    </row>
    <row r="10" spans="1:29" x14ac:dyDescent="0.2">
      <c r="A10" s="1">
        <v>1</v>
      </c>
      <c r="B10" s="1">
        <f>SUM(Gramaje!P2:P25)</f>
        <v>1477.7275999999997</v>
      </c>
      <c r="C10" s="1">
        <f>SUM(Gramaje!R2:R25)</f>
        <v>77.167639999999992</v>
      </c>
      <c r="D10" s="1">
        <f>SUM(Gramaje!V2:V25)</f>
        <v>40.104040000000005</v>
      </c>
      <c r="E10" s="1">
        <f>SUM(Gramaje!T2:T25)</f>
        <v>200.29277000000002</v>
      </c>
      <c r="F10" s="1">
        <f>SUM(Gramaje!X2:X25)</f>
        <v>26.074339999999996</v>
      </c>
      <c r="G10" s="1">
        <f>+SUM(Gramaje!Z2:Z25)</f>
        <v>545.81280000000004</v>
      </c>
      <c r="H10" s="1">
        <f>SUM(Gramaje!AB2:AB24)</f>
        <v>11.675789999999999</v>
      </c>
    </row>
    <row r="11" spans="1:29" x14ac:dyDescent="0.2">
      <c r="A11" s="1">
        <f>A10+1</f>
        <v>2</v>
      </c>
      <c r="B11" s="1" t="e">
        <f>SUM(Gramaje!P26:P45)</f>
        <v>#DIV/0!</v>
      </c>
      <c r="C11" s="1" t="e">
        <f>SUM(Gramaje!R26:R45)</f>
        <v>#DIV/0!</v>
      </c>
      <c r="D11" s="1" t="e">
        <f>SUM(Gramaje!V26:V45)</f>
        <v>#DIV/0!</v>
      </c>
      <c r="E11" s="1" t="e">
        <f>SUM(Gramaje!T26:T45)</f>
        <v>#DIV/0!</v>
      </c>
      <c r="F11" s="1" t="e">
        <f>SUM(Gramaje!X26:X45)</f>
        <v>#DIV/0!</v>
      </c>
      <c r="G11" s="1" t="e">
        <f>SUM(Gramaje!Z26:Z45)</f>
        <v>#DIV/0!</v>
      </c>
      <c r="H11" s="1" t="e">
        <f>SUM(Gramaje!AB26:AB45)</f>
        <v>#DIV/0!</v>
      </c>
    </row>
    <row r="12" spans="1:29" x14ac:dyDescent="0.2">
      <c r="A12" s="1">
        <f t="shared" ref="A12:A18" si="2">A11+1</f>
        <v>3</v>
      </c>
      <c r="B12" s="1">
        <f>SUM(Gramaje!P46:P77)</f>
        <v>2070.0133333333333</v>
      </c>
      <c r="C12" s="1">
        <f>SUM(Gramaje!R46:R77)</f>
        <v>98.946333333333342</v>
      </c>
      <c r="D12" s="1">
        <f>SUM(Gramaje!V46:V77)</f>
        <v>57.85299999999998</v>
      </c>
      <c r="E12" s="1">
        <f>SUM(Gramaje!T46:T77)</f>
        <v>286.83499999999992</v>
      </c>
      <c r="F12" s="1">
        <f>SUM(Gramaje!X46:X77)</f>
        <v>56.802333333333323</v>
      </c>
      <c r="G12" s="1">
        <f>SUM(Gramaje!Z46:Z77)</f>
        <v>393.06799999999998</v>
      </c>
      <c r="H12" s="1">
        <f>SUM(Gramaje!AB46:AB77)</f>
        <v>15.997333333333334</v>
      </c>
    </row>
    <row r="13" spans="1:29" x14ac:dyDescent="0.2">
      <c r="A13" s="1">
        <f t="shared" si="2"/>
        <v>4</v>
      </c>
      <c r="B13" s="1" t="e">
        <f>SUM(Gramaje!P78:P101)</f>
        <v>#DIV/0!</v>
      </c>
      <c r="C13" s="1" t="e">
        <f>SUM(Gramaje!R78:R101)</f>
        <v>#DIV/0!</v>
      </c>
      <c r="D13" s="1" t="e">
        <f>SUM(Gramaje!V78:V101)</f>
        <v>#DIV/0!</v>
      </c>
      <c r="E13" s="1" t="e">
        <f>SUM(Gramaje!T78:T101)</f>
        <v>#DIV/0!</v>
      </c>
      <c r="F13" s="1" t="e">
        <f>SUM(Gramaje!X78:X101)</f>
        <v>#DIV/0!</v>
      </c>
      <c r="G13" s="1" t="e">
        <f>SUM(Gramaje!Z78:Z101)</f>
        <v>#DIV/0!</v>
      </c>
      <c r="H13" s="1" t="e">
        <f>SUM(Gramaje!AB78:AB101)</f>
        <v>#DIV/0!</v>
      </c>
    </row>
    <row r="14" spans="1:29" x14ac:dyDescent="0.2">
      <c r="A14" s="1">
        <f t="shared" si="2"/>
        <v>5</v>
      </c>
      <c r="B14" s="1" t="e">
        <f>SUM(Gramaje!P102:P145)</f>
        <v>#DIV/0!</v>
      </c>
      <c r="C14" s="1" t="e">
        <f>SUM(Gramaje!R102:R145)</f>
        <v>#DIV/0!</v>
      </c>
      <c r="D14" s="1" t="e">
        <f>SUM(Gramaje!V102:V145)</f>
        <v>#DIV/0!</v>
      </c>
      <c r="E14" s="1" t="e">
        <f>SUM(Gramaje!T102:T145)</f>
        <v>#DIV/0!</v>
      </c>
      <c r="F14" s="1" t="e">
        <f>SUM(Gramaje!X102:X145)</f>
        <v>#DIV/0!</v>
      </c>
      <c r="G14" s="1" t="e">
        <f>SUM(Gramaje!Z102:Z145)</f>
        <v>#DIV/0!</v>
      </c>
      <c r="H14" s="1" t="e">
        <f>SUM(Gramaje!AB102:AB145)</f>
        <v>#DIV/0!</v>
      </c>
    </row>
    <row r="15" spans="1:29" x14ac:dyDescent="0.2">
      <c r="A15" s="1">
        <f t="shared" si="2"/>
        <v>6</v>
      </c>
      <c r="B15" s="1">
        <f>SUM(Gramaje!P146:P164)</f>
        <v>1135.5</v>
      </c>
      <c r="C15" s="1">
        <f>SUM(Gramaje!R146:R164)</f>
        <v>78.799999999999983</v>
      </c>
      <c r="D15" s="1">
        <f>SUM(Gramaje!V146:V164)</f>
        <v>31.6</v>
      </c>
      <c r="E15" s="1">
        <f>SUM(Gramaje!T146:T164)</f>
        <v>136.35</v>
      </c>
      <c r="F15" s="1">
        <f>SUM(Gramaje!X146:X164)</f>
        <v>13.65</v>
      </c>
      <c r="G15" s="1">
        <f>SUM(Gramaje!Z146:Z164)</f>
        <v>333</v>
      </c>
      <c r="H15" s="1">
        <f>SUM(Gramaje!AB146:AB164)</f>
        <v>5.9</v>
      </c>
    </row>
    <row r="16" spans="1:29" x14ac:dyDescent="0.2">
      <c r="A16" s="1">
        <f t="shared" si="2"/>
        <v>7</v>
      </c>
      <c r="B16" s="1" t="e">
        <f>SUM(Gramaje!P165:P196)</f>
        <v>#DIV/0!</v>
      </c>
      <c r="C16" s="1" t="e">
        <f>SUM(Gramaje!R165:R196)</f>
        <v>#DIV/0!</v>
      </c>
      <c r="D16" s="1" t="e">
        <f>SUM(Gramaje!V165:V196)</f>
        <v>#DIV/0!</v>
      </c>
      <c r="E16" s="1" t="e">
        <f>SUM(Gramaje!T165:T196)</f>
        <v>#DIV/0!</v>
      </c>
      <c r="F16" s="1" t="e">
        <f>SUM(Gramaje!X165:X196)</f>
        <v>#DIV/0!</v>
      </c>
      <c r="G16" s="1" t="e">
        <f>SUM(Gramaje!Z165:Z196)</f>
        <v>#DIV/0!</v>
      </c>
      <c r="H16" s="1" t="e">
        <f>SUM(Gramaje!AB165:AB196)</f>
        <v>#DIV/0!</v>
      </c>
    </row>
    <row r="17" spans="1:8" x14ac:dyDescent="0.2">
      <c r="A17" s="1">
        <f t="shared" si="2"/>
        <v>8</v>
      </c>
      <c r="B17" s="1" t="e">
        <f>SUM(Gramaje!P197:P218)</f>
        <v>#DIV/0!</v>
      </c>
      <c r="C17" s="1" t="e">
        <f>SUM(Gramaje!R197:R218)</f>
        <v>#DIV/0!</v>
      </c>
      <c r="D17" s="1" t="e">
        <f>SUM(Gramaje!V197:V218)</f>
        <v>#DIV/0!</v>
      </c>
      <c r="E17" s="1" t="e">
        <f>SUM(Gramaje!T197:T218)</f>
        <v>#DIV/0!</v>
      </c>
      <c r="F17" s="1" t="e">
        <f>SUM(Gramaje!X197:X218)</f>
        <v>#DIV/0!</v>
      </c>
      <c r="G17" s="1" t="e">
        <f>SUM(Gramaje!Z197:Z218)</f>
        <v>#DIV/0!</v>
      </c>
      <c r="H17" s="1" t="e">
        <f>SUM(Gramaje!AB197:AB218)</f>
        <v>#DIV/0!</v>
      </c>
    </row>
    <row r="18" spans="1:8" x14ac:dyDescent="0.2">
      <c r="A18" s="1">
        <f t="shared" si="2"/>
        <v>9</v>
      </c>
      <c r="B18" s="1">
        <f>SUM(Gramaje!P219:P243)</f>
        <v>1803.25</v>
      </c>
      <c r="C18" s="1">
        <f>SUM(Gramaje!R219:R243)</f>
        <v>52.859000000000009</v>
      </c>
      <c r="D18" s="1">
        <f>SUM(Gramaje!V219:V243)</f>
        <v>42.63000000000001</v>
      </c>
      <c r="E18" s="1">
        <f>SUM(Gramaje!T219:T243)</f>
        <v>302.70000000000005</v>
      </c>
      <c r="F18" s="1">
        <f>SUM(Gramaje!X219:X243)</f>
        <v>24.699999999999996</v>
      </c>
      <c r="G18" s="1">
        <f>SUM(Gramaje!Z219:Z243)</f>
        <v>1258.5</v>
      </c>
      <c r="H18" s="1">
        <f>SUM(Gramaje!AB219:AB243)</f>
        <v>8.6599999999999984</v>
      </c>
    </row>
  </sheetData>
  <mergeCells count="20">
    <mergeCell ref="B2:D2"/>
    <mergeCell ref="B1:F1"/>
    <mergeCell ref="F2:F3"/>
    <mergeCell ref="J2:J3"/>
    <mergeCell ref="G2:H2"/>
    <mergeCell ref="G1:J1"/>
    <mergeCell ref="N2:N3"/>
    <mergeCell ref="K2:L2"/>
    <mergeCell ref="K1:N1"/>
    <mergeCell ref="R2:R3"/>
    <mergeCell ref="O2:P2"/>
    <mergeCell ref="O1:R1"/>
    <mergeCell ref="Z2:AA2"/>
    <mergeCell ref="AC2:AC3"/>
    <mergeCell ref="Z1:AC1"/>
    <mergeCell ref="V2:V3"/>
    <mergeCell ref="S2:T2"/>
    <mergeCell ref="S1:V1"/>
    <mergeCell ref="Y2:Y3"/>
    <mergeCell ref="W1:Y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C88F6-053A-5B4B-B08B-EA94B12A0185}">
  <dimension ref="A1:E7"/>
  <sheetViews>
    <sheetView topLeftCell="J1" zoomScale="150" zoomScaleNormal="150" workbookViewId="0">
      <selection activeCell="E22" sqref="E22"/>
    </sheetView>
  </sheetViews>
  <sheetFormatPr baseColWidth="10" defaultRowHeight="16" x14ac:dyDescent="0.2"/>
  <cols>
    <col min="1" max="1" width="35" customWidth="1"/>
    <col min="2" max="2" width="20" customWidth="1"/>
    <col min="3" max="3" width="20.83203125" customWidth="1"/>
    <col min="4" max="4" width="25.33203125" customWidth="1"/>
    <col min="5" max="5" width="30.1640625" customWidth="1"/>
  </cols>
  <sheetData>
    <row r="1" spans="1:5" x14ac:dyDescent="0.2">
      <c r="A1" s="86" t="s">
        <v>477</v>
      </c>
      <c r="B1" s="86" t="s">
        <v>478</v>
      </c>
      <c r="C1" s="86" t="s">
        <v>479</v>
      </c>
      <c r="D1" s="86" t="s">
        <v>480</v>
      </c>
      <c r="E1" s="87" t="s">
        <v>489</v>
      </c>
    </row>
    <row r="2" spans="1:5" x14ac:dyDescent="0.2">
      <c r="A2" t="s">
        <v>481</v>
      </c>
      <c r="B2">
        <v>8</v>
      </c>
      <c r="C2">
        <v>6</v>
      </c>
      <c r="D2">
        <v>5.5</v>
      </c>
      <c r="E2">
        <f>AVERAGE(B2:D2)</f>
        <v>6.5</v>
      </c>
    </row>
    <row r="3" spans="1:5" x14ac:dyDescent="0.2">
      <c r="A3" t="s">
        <v>482</v>
      </c>
      <c r="B3">
        <v>5</v>
      </c>
      <c r="C3">
        <v>4</v>
      </c>
      <c r="D3">
        <v>3.5</v>
      </c>
      <c r="E3">
        <f t="shared" ref="E3:E7" si="0">AVERAGE(B3:D3)</f>
        <v>4.166666666666667</v>
      </c>
    </row>
    <row r="4" spans="1:5" x14ac:dyDescent="0.2">
      <c r="A4" t="s">
        <v>483</v>
      </c>
      <c r="B4">
        <v>5</v>
      </c>
      <c r="C4">
        <v>3.5</v>
      </c>
      <c r="D4">
        <v>3.5</v>
      </c>
      <c r="E4">
        <f t="shared" si="0"/>
        <v>4</v>
      </c>
    </row>
    <row r="5" spans="1:5" x14ac:dyDescent="0.2">
      <c r="A5" t="s">
        <v>484</v>
      </c>
      <c r="B5">
        <v>7.5</v>
      </c>
      <c r="C5">
        <v>6.5</v>
      </c>
      <c r="D5">
        <v>6</v>
      </c>
      <c r="E5">
        <f t="shared" si="0"/>
        <v>6.666666666666667</v>
      </c>
    </row>
    <row r="6" spans="1:5" x14ac:dyDescent="0.2">
      <c r="A6" t="s">
        <v>23</v>
      </c>
      <c r="B6">
        <v>5</v>
      </c>
      <c r="C6">
        <v>4</v>
      </c>
      <c r="D6">
        <v>5</v>
      </c>
      <c r="E6">
        <f t="shared" si="0"/>
        <v>4.666666666666667</v>
      </c>
    </row>
    <row r="7" spans="1:5" x14ac:dyDescent="0.2">
      <c r="A7" t="s">
        <v>485</v>
      </c>
      <c r="B7">
        <v>3</v>
      </c>
      <c r="C7">
        <v>3</v>
      </c>
      <c r="D7">
        <v>3</v>
      </c>
      <c r="E7">
        <f t="shared" si="0"/>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B473D-D326-1C42-BDB0-975A1992B5BF}">
  <dimension ref="A1:S20"/>
  <sheetViews>
    <sheetView tabSelected="1" workbookViewId="0">
      <selection activeCell="J13" sqref="J13"/>
    </sheetView>
  </sheetViews>
  <sheetFormatPr baseColWidth="10" defaultRowHeight="16" x14ac:dyDescent="0.2"/>
  <cols>
    <col min="1" max="1" width="13.1640625" customWidth="1"/>
    <col min="2" max="2" width="12.1640625" customWidth="1"/>
    <col min="3" max="3" width="14.1640625" customWidth="1"/>
    <col min="7" max="7" width="14" customWidth="1"/>
  </cols>
  <sheetData>
    <row r="1" spans="1:14" x14ac:dyDescent="0.2">
      <c r="A1" t="s">
        <v>6</v>
      </c>
      <c r="B1" t="s">
        <v>492</v>
      </c>
      <c r="C1" t="s">
        <v>502</v>
      </c>
      <c r="D1" t="s">
        <v>503</v>
      </c>
      <c r="E1" t="s">
        <v>504</v>
      </c>
      <c r="F1" t="s">
        <v>505</v>
      </c>
      <c r="G1" t="s">
        <v>519</v>
      </c>
      <c r="H1" t="s">
        <v>520</v>
      </c>
      <c r="I1" t="s">
        <v>515</v>
      </c>
      <c r="J1" t="s">
        <v>508</v>
      </c>
      <c r="K1" t="s">
        <v>509</v>
      </c>
      <c r="L1" t="s">
        <v>510</v>
      </c>
      <c r="M1" t="s">
        <v>511</v>
      </c>
      <c r="N1" t="s">
        <v>513</v>
      </c>
    </row>
    <row r="2" spans="1:14" x14ac:dyDescent="0.2">
      <c r="A2" t="s">
        <v>490</v>
      </c>
      <c r="B2">
        <v>2200</v>
      </c>
      <c r="C2">
        <f>0.92*70</f>
        <v>64.400000000000006</v>
      </c>
      <c r="D2">
        <f>1.11*70</f>
        <v>77.7</v>
      </c>
      <c r="E2">
        <v>100</v>
      </c>
      <c r="F2">
        <v>130</v>
      </c>
      <c r="G2">
        <v>20</v>
      </c>
      <c r="H2">
        <v>35</v>
      </c>
      <c r="I2">
        <f>AVERAGE(38,25)</f>
        <v>31.5</v>
      </c>
      <c r="J2">
        <v>800</v>
      </c>
      <c r="K2">
        <v>1000</v>
      </c>
      <c r="L2">
        <f>AVERAGE(9,11.7)</f>
        <v>10.35</v>
      </c>
      <c r="M2">
        <f>AVERAGE(13,27)</f>
        <v>20</v>
      </c>
      <c r="N2">
        <v>1500</v>
      </c>
    </row>
    <row r="3" spans="1:14" x14ac:dyDescent="0.2">
      <c r="A3" t="s">
        <v>491</v>
      </c>
      <c r="B3">
        <v>2200</v>
      </c>
      <c r="C3">
        <f t="shared" ref="C3:C4" si="0">0.92*70</f>
        <v>64.400000000000006</v>
      </c>
      <c r="D3">
        <f t="shared" ref="D3:D4" si="1">1.11*70</f>
        <v>77.7</v>
      </c>
      <c r="E3">
        <v>100</v>
      </c>
      <c r="F3">
        <v>130</v>
      </c>
      <c r="G3">
        <v>20</v>
      </c>
      <c r="H3">
        <v>35</v>
      </c>
      <c r="I3">
        <f t="shared" ref="I3" si="2">AVERAGE(38,25)</f>
        <v>31.5</v>
      </c>
      <c r="J3">
        <v>800</v>
      </c>
      <c r="K3">
        <v>1000</v>
      </c>
      <c r="L3">
        <f>AVERAGE(9,11.7)</f>
        <v>10.35</v>
      </c>
      <c r="M3">
        <f>AVERAGE(13,27)</f>
        <v>20</v>
      </c>
      <c r="N3">
        <v>1500</v>
      </c>
    </row>
    <row r="4" spans="1:14" x14ac:dyDescent="0.2">
      <c r="A4" t="s">
        <v>498</v>
      </c>
      <c r="B4">
        <v>2200</v>
      </c>
      <c r="C4">
        <f t="shared" si="0"/>
        <v>64.400000000000006</v>
      </c>
      <c r="D4">
        <f t="shared" si="1"/>
        <v>77.7</v>
      </c>
      <c r="E4">
        <v>100</v>
      </c>
      <c r="F4">
        <v>130</v>
      </c>
      <c r="G4">
        <v>20</v>
      </c>
      <c r="H4">
        <v>35</v>
      </c>
      <c r="I4">
        <f>AVERAGE(30,21)</f>
        <v>25.5</v>
      </c>
      <c r="J4">
        <v>800</v>
      </c>
      <c r="K4">
        <v>1000</v>
      </c>
      <c r="L4">
        <f>AVERAGE(9,7.5)</f>
        <v>8.25</v>
      </c>
      <c r="M4">
        <f>AVERAGE(13,12)</f>
        <v>12.5</v>
      </c>
      <c r="N4">
        <v>1300</v>
      </c>
    </row>
    <row r="8" spans="1:14" x14ac:dyDescent="0.2">
      <c r="A8" t="s">
        <v>499</v>
      </c>
    </row>
    <row r="9" spans="1:14" x14ac:dyDescent="0.2">
      <c r="A9" s="88" t="s">
        <v>492</v>
      </c>
      <c r="B9" t="s">
        <v>500</v>
      </c>
    </row>
    <row r="10" spans="1:14" x14ac:dyDescent="0.2">
      <c r="A10" s="88" t="s">
        <v>493</v>
      </c>
      <c r="B10" t="s">
        <v>501</v>
      </c>
    </row>
    <row r="11" spans="1:14" x14ac:dyDescent="0.2">
      <c r="A11" s="88" t="s">
        <v>474</v>
      </c>
      <c r="B11" t="s">
        <v>506</v>
      </c>
    </row>
    <row r="12" spans="1:14" x14ac:dyDescent="0.2">
      <c r="A12" s="88" t="s">
        <v>23</v>
      </c>
    </row>
    <row r="13" spans="1:14" x14ac:dyDescent="0.2">
      <c r="A13" s="88" t="s">
        <v>494</v>
      </c>
      <c r="B13" t="s">
        <v>507</v>
      </c>
    </row>
    <row r="14" spans="1:14" x14ac:dyDescent="0.2">
      <c r="A14" s="88" t="s">
        <v>495</v>
      </c>
      <c r="B14" t="s">
        <v>512</v>
      </c>
    </row>
    <row r="15" spans="1:14" x14ac:dyDescent="0.2">
      <c r="A15" s="88" t="s">
        <v>496</v>
      </c>
    </row>
    <row r="16" spans="1:14" x14ac:dyDescent="0.2">
      <c r="A16" s="88" t="s">
        <v>497</v>
      </c>
      <c r="B16" t="s">
        <v>514</v>
      </c>
    </row>
    <row r="18" spans="1:19" ht="47" customHeight="1" x14ac:dyDescent="0.2">
      <c r="A18" s="88" t="s">
        <v>516</v>
      </c>
      <c r="B18" s="115" t="s">
        <v>522</v>
      </c>
      <c r="C18" s="115"/>
      <c r="D18" s="115"/>
      <c r="E18" s="115"/>
      <c r="F18" s="115"/>
      <c r="G18" s="115"/>
      <c r="H18" s="115"/>
      <c r="I18" s="115"/>
      <c r="J18" s="115"/>
      <c r="K18" s="115"/>
      <c r="L18" s="115"/>
      <c r="M18" s="115"/>
      <c r="N18" s="115"/>
      <c r="O18" s="115"/>
      <c r="P18" s="115"/>
      <c r="Q18" s="115"/>
      <c r="R18" s="115"/>
      <c r="S18" s="115"/>
    </row>
    <row r="19" spans="1:19" ht="33" customHeight="1" x14ac:dyDescent="0.2">
      <c r="A19" s="88" t="s">
        <v>517</v>
      </c>
      <c r="B19" s="115" t="s">
        <v>521</v>
      </c>
      <c r="C19" s="115"/>
      <c r="D19" s="115"/>
      <c r="E19" s="115"/>
      <c r="F19" s="115"/>
      <c r="G19" s="115"/>
      <c r="H19" s="115"/>
      <c r="I19" s="115"/>
      <c r="J19" s="115"/>
      <c r="K19" s="115"/>
      <c r="L19" s="115"/>
      <c r="M19" s="115"/>
      <c r="N19" s="115"/>
      <c r="O19" s="115"/>
      <c r="P19" s="115"/>
      <c r="Q19" s="115"/>
      <c r="R19" s="115"/>
      <c r="S19" s="115"/>
    </row>
    <row r="20" spans="1:19" ht="37" customHeight="1" x14ac:dyDescent="0.2">
      <c r="A20" s="88" t="s">
        <v>518</v>
      </c>
      <c r="B20" s="115" t="s">
        <v>523</v>
      </c>
      <c r="C20" s="115"/>
      <c r="D20" s="115"/>
      <c r="E20" s="115"/>
      <c r="F20" s="115"/>
      <c r="G20" s="115"/>
      <c r="H20" s="115"/>
      <c r="I20" s="115"/>
      <c r="J20" s="115"/>
      <c r="K20" s="115"/>
      <c r="L20" s="115"/>
      <c r="M20" s="115"/>
      <c r="N20" s="115"/>
      <c r="O20" s="115"/>
      <c r="P20" s="115"/>
      <c r="Q20" s="115"/>
      <c r="R20" s="115"/>
      <c r="S20" s="115"/>
    </row>
  </sheetData>
  <mergeCells count="3">
    <mergeCell ref="B19:S19"/>
    <mergeCell ref="B18:S18"/>
    <mergeCell ref="B20:S2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FC2AD-B808-304F-80C0-D840B08FF91A}">
  <dimension ref="A1:B13"/>
  <sheetViews>
    <sheetView zoomScale="158" zoomScaleNormal="158" workbookViewId="0">
      <selection activeCell="B1" sqref="B1"/>
    </sheetView>
  </sheetViews>
  <sheetFormatPr baseColWidth="10" defaultRowHeight="16" x14ac:dyDescent="0.2"/>
  <cols>
    <col min="1" max="1" width="35.1640625" customWidth="1"/>
    <col min="2" max="2" width="33.83203125" customWidth="1"/>
  </cols>
  <sheetData>
    <row r="1" spans="1:2" x14ac:dyDescent="0.2">
      <c r="A1" s="86" t="s">
        <v>488</v>
      </c>
      <c r="B1" s="86" t="s">
        <v>487</v>
      </c>
    </row>
    <row r="2" spans="1:2" x14ac:dyDescent="0.2">
      <c r="A2" t="s">
        <v>422</v>
      </c>
      <c r="B2" t="s">
        <v>485</v>
      </c>
    </row>
    <row r="3" spans="1:2" x14ac:dyDescent="0.2">
      <c r="A3" t="s">
        <v>424</v>
      </c>
      <c r="B3" t="s">
        <v>486</v>
      </c>
    </row>
    <row r="4" spans="1:2" x14ac:dyDescent="0.2">
      <c r="A4" t="s">
        <v>36</v>
      </c>
      <c r="B4" t="s">
        <v>484</v>
      </c>
    </row>
    <row r="5" spans="1:2" x14ac:dyDescent="0.2">
      <c r="A5" t="s">
        <v>410</v>
      </c>
      <c r="B5" t="s">
        <v>481</v>
      </c>
    </row>
    <row r="6" spans="1:2" x14ac:dyDescent="0.2">
      <c r="A6" t="s">
        <v>18</v>
      </c>
      <c r="B6" t="s">
        <v>482</v>
      </c>
    </row>
    <row r="7" spans="1:2" x14ac:dyDescent="0.2">
      <c r="A7" t="s">
        <v>23</v>
      </c>
      <c r="B7" t="s">
        <v>23</v>
      </c>
    </row>
    <row r="8" spans="1:2" x14ac:dyDescent="0.2">
      <c r="A8" t="s">
        <v>428</v>
      </c>
      <c r="B8" t="s">
        <v>486</v>
      </c>
    </row>
    <row r="9" spans="1:2" x14ac:dyDescent="0.2">
      <c r="A9" t="s">
        <v>404</v>
      </c>
      <c r="B9" t="s">
        <v>483</v>
      </c>
    </row>
    <row r="10" spans="1:2" x14ac:dyDescent="0.2">
      <c r="A10" t="s">
        <v>408</v>
      </c>
      <c r="B10" t="s">
        <v>484</v>
      </c>
    </row>
    <row r="11" spans="1:2" x14ac:dyDescent="0.2">
      <c r="A11" t="s">
        <v>426</v>
      </c>
      <c r="B11" t="s">
        <v>23</v>
      </c>
    </row>
    <row r="12" spans="1:2" x14ac:dyDescent="0.2">
      <c r="A12" t="s">
        <v>406</v>
      </c>
      <c r="B12" t="s">
        <v>484</v>
      </c>
    </row>
    <row r="13" spans="1:2" x14ac:dyDescent="0.2">
      <c r="A13" t="s">
        <v>418</v>
      </c>
      <c r="B13" t="s">
        <v>482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BD52-204D-44C9-A15E-4523A77BF320}">
  <dimension ref="A1:C38"/>
  <sheetViews>
    <sheetView topLeftCell="A7" workbookViewId="0">
      <selection activeCell="F21" sqref="F21"/>
    </sheetView>
  </sheetViews>
  <sheetFormatPr baseColWidth="10" defaultColWidth="8.83203125" defaultRowHeight="16" x14ac:dyDescent="0.2"/>
  <sheetData>
    <row r="1" spans="1:2" x14ac:dyDescent="0.2">
      <c r="A1" s="31" t="s">
        <v>130</v>
      </c>
      <c r="B1" s="31" t="s">
        <v>382</v>
      </c>
    </row>
    <row r="2" spans="1:2" x14ac:dyDescent="0.2">
      <c r="A2" s="31">
        <v>1</v>
      </c>
      <c r="B2" s="32">
        <v>3.8</v>
      </c>
    </row>
    <row r="3" spans="1:2" x14ac:dyDescent="0.2">
      <c r="A3" s="31">
        <v>1</v>
      </c>
      <c r="B3" s="32">
        <v>3.5</v>
      </c>
    </row>
    <row r="4" spans="1:2" x14ac:dyDescent="0.2">
      <c r="A4" s="31">
        <v>1</v>
      </c>
      <c r="B4" s="32">
        <v>4</v>
      </c>
    </row>
    <row r="5" spans="1:2" x14ac:dyDescent="0.2">
      <c r="A5" s="31">
        <v>1</v>
      </c>
      <c r="B5" s="32">
        <v>3.5</v>
      </c>
    </row>
    <row r="6" spans="1:2" x14ac:dyDescent="0.2">
      <c r="A6" s="31">
        <v>1</v>
      </c>
      <c r="B6" s="32">
        <v>3</v>
      </c>
    </row>
    <row r="7" spans="1:2" x14ac:dyDescent="0.2">
      <c r="A7" s="31">
        <v>2</v>
      </c>
      <c r="B7" s="32">
        <v>3</v>
      </c>
    </row>
    <row r="8" spans="1:2" x14ac:dyDescent="0.2">
      <c r="A8" s="31">
        <v>2</v>
      </c>
      <c r="B8" s="32">
        <v>3</v>
      </c>
    </row>
    <row r="9" spans="1:2" x14ac:dyDescent="0.2">
      <c r="A9" s="31">
        <v>2</v>
      </c>
      <c r="B9" s="32">
        <v>4.5</v>
      </c>
    </row>
    <row r="10" spans="1:2" x14ac:dyDescent="0.2">
      <c r="A10" s="31">
        <v>2</v>
      </c>
      <c r="B10" s="32">
        <v>4</v>
      </c>
    </row>
    <row r="11" spans="1:2" x14ac:dyDescent="0.2">
      <c r="A11" s="31">
        <v>3</v>
      </c>
      <c r="B11" s="32">
        <v>3.5</v>
      </c>
    </row>
    <row r="12" spans="1:2" x14ac:dyDescent="0.2">
      <c r="A12" s="31">
        <v>3</v>
      </c>
      <c r="B12" s="32">
        <v>4</v>
      </c>
    </row>
    <row r="13" spans="1:2" x14ac:dyDescent="0.2">
      <c r="A13" s="31">
        <v>3</v>
      </c>
      <c r="B13" s="32">
        <v>2.8</v>
      </c>
    </row>
    <row r="14" spans="1:2" x14ac:dyDescent="0.2">
      <c r="A14" s="53">
        <v>3</v>
      </c>
      <c r="B14" s="54">
        <v>3</v>
      </c>
    </row>
    <row r="15" spans="1:2" x14ac:dyDescent="0.2">
      <c r="A15" s="50">
        <v>4</v>
      </c>
      <c r="B15" s="50">
        <v>3.5</v>
      </c>
    </row>
    <row r="16" spans="1:2" x14ac:dyDescent="0.2">
      <c r="A16" s="50">
        <v>5</v>
      </c>
      <c r="B16" s="50">
        <v>3.8</v>
      </c>
    </row>
    <row r="17" spans="1:3" x14ac:dyDescent="0.2">
      <c r="A17" s="50">
        <v>5</v>
      </c>
      <c r="B17" s="50">
        <v>4</v>
      </c>
    </row>
    <row r="18" spans="1:3" x14ac:dyDescent="0.2">
      <c r="A18" s="50">
        <v>5</v>
      </c>
      <c r="B18" s="50">
        <v>3.5</v>
      </c>
    </row>
    <row r="19" spans="1:3" x14ac:dyDescent="0.2">
      <c r="A19" s="50">
        <v>5</v>
      </c>
      <c r="B19" s="50">
        <v>4.5</v>
      </c>
    </row>
    <row r="20" spans="1:3" x14ac:dyDescent="0.2">
      <c r="A20" s="50">
        <v>5</v>
      </c>
      <c r="B20" s="50">
        <v>3</v>
      </c>
    </row>
    <row r="21" spans="1:3" x14ac:dyDescent="0.2">
      <c r="A21" s="50">
        <v>5</v>
      </c>
      <c r="B21" s="50">
        <v>3.5</v>
      </c>
    </row>
    <row r="22" spans="1:3" x14ac:dyDescent="0.2">
      <c r="A22" s="50">
        <v>6</v>
      </c>
      <c r="B22" s="50">
        <v>3</v>
      </c>
      <c r="C22" t="s">
        <v>383</v>
      </c>
    </row>
    <row r="23" spans="1:3" x14ac:dyDescent="0.2">
      <c r="A23" s="50">
        <v>6</v>
      </c>
      <c r="B23" s="50">
        <v>4</v>
      </c>
    </row>
    <row r="24" spans="1:3" x14ac:dyDescent="0.2">
      <c r="A24" s="55">
        <v>6</v>
      </c>
      <c r="B24" s="55">
        <v>3</v>
      </c>
    </row>
    <row r="25" spans="1:3" x14ac:dyDescent="0.2">
      <c r="A25" s="50">
        <v>7</v>
      </c>
      <c r="B25" s="50">
        <v>4</v>
      </c>
    </row>
    <row r="26" spans="1:3" x14ac:dyDescent="0.2">
      <c r="A26" s="50">
        <v>7</v>
      </c>
      <c r="B26" s="50">
        <v>2.8</v>
      </c>
    </row>
    <row r="27" spans="1:3" x14ac:dyDescent="0.2">
      <c r="A27" s="50">
        <v>7</v>
      </c>
      <c r="B27" s="50">
        <v>3</v>
      </c>
    </row>
    <row r="28" spans="1:3" x14ac:dyDescent="0.2">
      <c r="A28" s="50">
        <v>7</v>
      </c>
      <c r="B28" s="50">
        <v>2</v>
      </c>
    </row>
    <row r="29" spans="1:3" x14ac:dyDescent="0.2">
      <c r="A29" s="50">
        <v>7</v>
      </c>
      <c r="B29" s="50">
        <v>2</v>
      </c>
    </row>
    <row r="30" spans="1:3" x14ac:dyDescent="0.2">
      <c r="A30" s="50">
        <v>7</v>
      </c>
      <c r="B30" s="50">
        <v>3</v>
      </c>
    </row>
    <row r="31" spans="1:3" x14ac:dyDescent="0.2">
      <c r="A31" s="50">
        <v>8</v>
      </c>
      <c r="B31" s="50">
        <v>2</v>
      </c>
    </row>
    <row r="32" spans="1:3" x14ac:dyDescent="0.2">
      <c r="A32" s="50">
        <v>8</v>
      </c>
      <c r="B32" s="50">
        <v>2</v>
      </c>
    </row>
    <row r="33" spans="1:2" x14ac:dyDescent="0.2">
      <c r="A33" s="50">
        <v>8</v>
      </c>
      <c r="B33" s="50">
        <v>4</v>
      </c>
    </row>
    <row r="34" spans="1:2" x14ac:dyDescent="0.2">
      <c r="A34" s="50">
        <v>8</v>
      </c>
      <c r="B34" s="50">
        <v>2</v>
      </c>
    </row>
    <row r="35" spans="1:2" x14ac:dyDescent="0.2">
      <c r="A35" s="50">
        <v>9</v>
      </c>
      <c r="B35" s="50">
        <v>4</v>
      </c>
    </row>
    <row r="36" spans="1:2" x14ac:dyDescent="0.2">
      <c r="A36" s="50">
        <v>9</v>
      </c>
      <c r="B36" s="50">
        <v>3</v>
      </c>
    </row>
    <row r="37" spans="1:2" x14ac:dyDescent="0.2">
      <c r="A37" s="50">
        <v>9</v>
      </c>
      <c r="B37" s="50">
        <v>4</v>
      </c>
    </row>
    <row r="38" spans="1:2" x14ac:dyDescent="0.2">
      <c r="A38" s="50">
        <v>9</v>
      </c>
      <c r="B38" s="50">
        <v>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60586-944B-4203-9D12-BC66512E10CC}">
  <dimension ref="A1:AJ35"/>
  <sheetViews>
    <sheetView workbookViewId="0">
      <selection activeCell="E11" sqref="E11"/>
    </sheetView>
  </sheetViews>
  <sheetFormatPr baseColWidth="10" defaultColWidth="8.83203125" defaultRowHeight="16" x14ac:dyDescent="0.2"/>
  <cols>
    <col min="3" max="3" width="14.1640625" customWidth="1"/>
    <col min="17" max="17" width="15.1640625" customWidth="1"/>
  </cols>
  <sheetData>
    <row r="1" spans="1:36" x14ac:dyDescent="0.2">
      <c r="A1" s="116" t="s">
        <v>0</v>
      </c>
      <c r="B1" s="116"/>
      <c r="C1" s="116"/>
      <c r="D1" s="116"/>
      <c r="E1" s="116"/>
      <c r="F1" s="116"/>
      <c r="G1" s="116" t="s">
        <v>1</v>
      </c>
      <c r="H1" s="116"/>
      <c r="I1" s="116"/>
      <c r="J1" s="116"/>
      <c r="K1" s="116"/>
      <c r="M1" s="116" t="s">
        <v>2</v>
      </c>
      <c r="N1" s="116"/>
      <c r="O1" s="116"/>
      <c r="P1" s="116"/>
      <c r="Q1" s="116"/>
      <c r="R1" s="116"/>
      <c r="S1" s="116" t="s">
        <v>3</v>
      </c>
      <c r="T1" s="116"/>
      <c r="U1" s="116"/>
      <c r="V1" s="116"/>
      <c r="W1" s="116"/>
      <c r="Z1" s="116" t="s">
        <v>4</v>
      </c>
      <c r="AA1" s="116"/>
      <c r="AB1" s="116"/>
      <c r="AC1" s="116"/>
      <c r="AD1" s="116"/>
      <c r="AE1" s="116"/>
      <c r="AF1" s="116" t="s">
        <v>5</v>
      </c>
      <c r="AG1" s="116"/>
      <c r="AH1" s="116"/>
      <c r="AI1" s="116"/>
      <c r="AJ1" s="116"/>
    </row>
    <row r="2" spans="1:36" x14ac:dyDescent="0.2">
      <c r="A2" s="116"/>
      <c r="B2" s="116"/>
      <c r="C2" s="116"/>
      <c r="D2" s="116"/>
      <c r="E2" s="116"/>
      <c r="F2" s="116"/>
      <c r="G2" s="116"/>
      <c r="H2" s="116"/>
      <c r="I2" s="116"/>
      <c r="J2" s="116"/>
      <c r="K2" s="116"/>
      <c r="M2" s="116"/>
      <c r="N2" s="116"/>
      <c r="O2" s="116"/>
      <c r="P2" s="116"/>
      <c r="Q2" s="116"/>
      <c r="R2" s="116"/>
      <c r="S2" s="116"/>
      <c r="T2" s="116"/>
      <c r="U2" s="116"/>
      <c r="V2" s="116"/>
      <c r="W2" s="116"/>
      <c r="Z2" s="116"/>
      <c r="AA2" s="116"/>
      <c r="AB2" s="116"/>
      <c r="AC2" s="116"/>
      <c r="AD2" s="116"/>
      <c r="AE2" s="116"/>
      <c r="AF2" s="116"/>
      <c r="AG2" s="116"/>
      <c r="AH2" s="116"/>
      <c r="AI2" s="116"/>
      <c r="AJ2" s="116"/>
    </row>
    <row r="3" spans="1:36" ht="85" x14ac:dyDescent="0.2">
      <c r="A3" s="1" t="s">
        <v>144</v>
      </c>
      <c r="B3" s="5" t="s">
        <v>6</v>
      </c>
      <c r="C3" s="12" t="s">
        <v>7</v>
      </c>
      <c r="D3" s="12" t="s">
        <v>8</v>
      </c>
      <c r="E3" s="12" t="s">
        <v>9</v>
      </c>
      <c r="F3" s="12" t="s">
        <v>10</v>
      </c>
      <c r="G3" s="12" t="s">
        <v>11</v>
      </c>
      <c r="H3" s="12" t="s">
        <v>12</v>
      </c>
      <c r="I3" s="12" t="s">
        <v>13</v>
      </c>
      <c r="J3" s="12" t="s">
        <v>14</v>
      </c>
      <c r="K3" s="12" t="s">
        <v>153</v>
      </c>
      <c r="M3" s="1"/>
      <c r="N3" s="5" t="s">
        <v>6</v>
      </c>
      <c r="O3" s="5" t="s">
        <v>7</v>
      </c>
      <c r="P3" s="5" t="s">
        <v>15</v>
      </c>
      <c r="Q3" s="5" t="s">
        <v>9</v>
      </c>
      <c r="R3" s="5" t="s">
        <v>10</v>
      </c>
      <c r="S3" s="5" t="s">
        <v>11</v>
      </c>
      <c r="T3" s="5" t="s">
        <v>12</v>
      </c>
      <c r="U3" s="5" t="s">
        <v>13</v>
      </c>
      <c r="V3" s="5" t="s">
        <v>14</v>
      </c>
      <c r="W3" s="12" t="s">
        <v>153</v>
      </c>
      <c r="Z3" s="1"/>
      <c r="AA3" s="5" t="s">
        <v>6</v>
      </c>
      <c r="AB3" s="5" t="s">
        <v>7</v>
      </c>
      <c r="AC3" s="5" t="s">
        <v>15</v>
      </c>
      <c r="AD3" s="5" t="s">
        <v>9</v>
      </c>
      <c r="AE3" s="5" t="s">
        <v>10</v>
      </c>
      <c r="AF3" s="5" t="s">
        <v>11</v>
      </c>
      <c r="AG3" s="5" t="s">
        <v>12</v>
      </c>
      <c r="AH3" s="5" t="s">
        <v>13</v>
      </c>
      <c r="AI3" s="5" t="s">
        <v>14</v>
      </c>
      <c r="AJ3" s="5" t="s">
        <v>153</v>
      </c>
    </row>
    <row r="4" spans="1:36" x14ac:dyDescent="0.2">
      <c r="A4" s="29" t="s">
        <v>17</v>
      </c>
      <c r="B4" s="2" t="s">
        <v>18</v>
      </c>
      <c r="C4" s="7" t="s">
        <v>19</v>
      </c>
      <c r="D4" s="1">
        <v>9</v>
      </c>
      <c r="E4" s="1" t="s">
        <v>20</v>
      </c>
      <c r="F4" s="13">
        <v>161</v>
      </c>
      <c r="G4" s="13">
        <v>0.5</v>
      </c>
      <c r="H4" s="13"/>
      <c r="I4" s="13">
        <f>IF(G4=0,(H4/D4),G4)</f>
        <v>0.5</v>
      </c>
      <c r="J4" s="13">
        <f>I4*F4</f>
        <v>80.5</v>
      </c>
      <c r="K4" s="13"/>
      <c r="M4" s="93" t="s">
        <v>17</v>
      </c>
      <c r="N4" s="2" t="s">
        <v>18</v>
      </c>
      <c r="O4" s="1" t="s">
        <v>19</v>
      </c>
      <c r="P4" s="1">
        <v>9</v>
      </c>
      <c r="Q4" s="1" t="s">
        <v>20</v>
      </c>
      <c r="R4" s="1">
        <v>161</v>
      </c>
      <c r="S4" s="1"/>
      <c r="T4" s="1">
        <v>3</v>
      </c>
      <c r="U4" s="13">
        <f>IF(S4=0,(T4/P4),S4)</f>
        <v>0.33333333333333331</v>
      </c>
      <c r="V4" s="1">
        <f>R4*U4</f>
        <v>53.666666666666664</v>
      </c>
      <c r="W4" s="1"/>
      <c r="Z4" s="93" t="s">
        <v>17</v>
      </c>
      <c r="AA4" s="6"/>
      <c r="AB4" s="1" t="s">
        <v>21</v>
      </c>
      <c r="AC4" s="1">
        <v>1</v>
      </c>
      <c r="AD4" s="1" t="s">
        <v>22</v>
      </c>
      <c r="AE4" s="1">
        <v>150</v>
      </c>
      <c r="AF4" s="1">
        <v>1</v>
      </c>
      <c r="AG4" s="1"/>
      <c r="AH4" s="13">
        <f>IF(AF4=0,(AG4/AC4),AF4)</f>
        <v>1</v>
      </c>
      <c r="AI4" s="1">
        <f>AE4*AH4</f>
        <v>150</v>
      </c>
      <c r="AJ4" s="1"/>
    </row>
    <row r="5" spans="1:36" x14ac:dyDescent="0.2">
      <c r="A5" s="29" t="s">
        <v>17</v>
      </c>
      <c r="B5" s="6" t="s">
        <v>23</v>
      </c>
      <c r="C5" s="8" t="s">
        <v>24</v>
      </c>
      <c r="D5" s="1">
        <v>1</v>
      </c>
      <c r="E5" s="1" t="s">
        <v>25</v>
      </c>
      <c r="F5" s="13">
        <v>20</v>
      </c>
      <c r="G5" s="13">
        <v>1</v>
      </c>
      <c r="H5" s="13"/>
      <c r="I5" s="13">
        <f>IF(G5=0,(H5/D5),G5)</f>
        <v>1</v>
      </c>
      <c r="J5" s="13">
        <f>F5*I5</f>
        <v>20</v>
      </c>
      <c r="K5" s="13"/>
      <c r="M5" s="94"/>
      <c r="N5" s="6"/>
      <c r="O5" s="8" t="s">
        <v>26</v>
      </c>
      <c r="P5" s="1">
        <v>1</v>
      </c>
      <c r="Q5" s="1" t="s">
        <v>27</v>
      </c>
      <c r="R5" s="1">
        <v>52</v>
      </c>
      <c r="S5" s="1">
        <v>1</v>
      </c>
      <c r="T5" s="1"/>
      <c r="U5" s="13">
        <f t="shared" ref="U5:U24" si="0">IF(S5=0,(T5/P5),S5)</f>
        <v>1</v>
      </c>
      <c r="V5" s="1">
        <f t="shared" ref="V5:V24" si="1">R5*U5</f>
        <v>52</v>
      </c>
      <c r="W5" s="1"/>
      <c r="Z5" s="94"/>
      <c r="AA5" s="6"/>
      <c r="AB5" s="10" t="s">
        <v>28</v>
      </c>
      <c r="AC5" s="1">
        <v>1</v>
      </c>
      <c r="AD5" s="1" t="s">
        <v>29</v>
      </c>
      <c r="AE5" s="1">
        <v>50</v>
      </c>
      <c r="AF5" s="1">
        <v>2</v>
      </c>
      <c r="AG5" s="1"/>
      <c r="AH5" s="13">
        <f t="shared" ref="AH5:AH14" si="2">IF(AF5=0,(AG5/AC5),AF5)</f>
        <v>2</v>
      </c>
      <c r="AI5" s="1">
        <f t="shared" ref="AI5:AI14" si="3">AE5*AH5</f>
        <v>100</v>
      </c>
      <c r="AJ5" s="1"/>
    </row>
    <row r="6" spans="1:36" x14ac:dyDescent="0.2">
      <c r="A6" s="29" t="s">
        <v>17</v>
      </c>
      <c r="B6" s="2" t="s">
        <v>30</v>
      </c>
      <c r="C6" s="7" t="s">
        <v>31</v>
      </c>
      <c r="D6" s="1">
        <v>1</v>
      </c>
      <c r="E6" s="1" t="s">
        <v>32</v>
      </c>
      <c r="F6" s="13">
        <v>65</v>
      </c>
      <c r="G6" s="13">
        <v>1</v>
      </c>
      <c r="H6" s="13"/>
      <c r="I6" s="13">
        <f>IF(G6=0,(H6/D6),G6)</f>
        <v>1</v>
      </c>
      <c r="J6" s="13">
        <f>F6*G6</f>
        <v>65</v>
      </c>
      <c r="K6" s="13"/>
      <c r="M6" s="94"/>
      <c r="N6" s="2"/>
      <c r="O6" s="1" t="s">
        <v>33</v>
      </c>
      <c r="P6" s="1">
        <v>1</v>
      </c>
      <c r="Q6" s="1" t="s">
        <v>34</v>
      </c>
      <c r="R6" s="1">
        <v>50</v>
      </c>
      <c r="S6" s="1">
        <v>2</v>
      </c>
      <c r="T6" s="1"/>
      <c r="U6" s="13">
        <f t="shared" si="0"/>
        <v>2</v>
      </c>
      <c r="V6" s="1">
        <f t="shared" si="1"/>
        <v>100</v>
      </c>
      <c r="W6" s="1"/>
      <c r="Z6" s="94"/>
      <c r="AA6" s="6"/>
      <c r="AB6" s="1" t="s">
        <v>26</v>
      </c>
      <c r="AC6" s="1">
        <v>1</v>
      </c>
      <c r="AD6" s="1" t="s">
        <v>35</v>
      </c>
      <c r="AE6" s="1">
        <v>52</v>
      </c>
      <c r="AF6" s="1">
        <v>1</v>
      </c>
      <c r="AG6" s="1"/>
      <c r="AH6" s="13">
        <f t="shared" si="2"/>
        <v>1</v>
      </c>
      <c r="AI6" s="1">
        <f t="shared" si="3"/>
        <v>52</v>
      </c>
      <c r="AJ6" s="1"/>
    </row>
    <row r="7" spans="1:36" x14ac:dyDescent="0.2">
      <c r="A7" s="29" t="s">
        <v>17</v>
      </c>
      <c r="B7" s="2" t="s">
        <v>36</v>
      </c>
      <c r="C7" s="7" t="s">
        <v>37</v>
      </c>
      <c r="D7" s="1">
        <v>1</v>
      </c>
      <c r="E7" s="1" t="s">
        <v>29</v>
      </c>
      <c r="F7" s="13">
        <v>50</v>
      </c>
      <c r="G7" s="13">
        <v>2</v>
      </c>
      <c r="H7" s="13"/>
      <c r="I7" s="13">
        <f>IF(G7=0,(H7/D7),G7)</f>
        <v>2</v>
      </c>
      <c r="J7" s="13">
        <f t="shared" ref="J7:J28" si="4">F7*I7</f>
        <v>100</v>
      </c>
      <c r="K7" s="13"/>
      <c r="M7" s="94"/>
      <c r="N7" s="2"/>
      <c r="O7" s="1" t="s">
        <v>38</v>
      </c>
      <c r="P7" s="1">
        <v>1</v>
      </c>
      <c r="Q7" s="1" t="s">
        <v>39</v>
      </c>
      <c r="R7" s="1">
        <v>20</v>
      </c>
      <c r="S7" s="1">
        <v>1</v>
      </c>
      <c r="T7" s="1"/>
      <c r="U7" s="13">
        <f t="shared" si="0"/>
        <v>1</v>
      </c>
      <c r="V7" s="1">
        <f t="shared" si="1"/>
        <v>20</v>
      </c>
      <c r="W7" s="1"/>
      <c r="Z7" s="93" t="s">
        <v>44</v>
      </c>
      <c r="AA7" s="2"/>
      <c r="AB7" s="1" t="s">
        <v>21</v>
      </c>
      <c r="AC7" s="1">
        <v>1</v>
      </c>
      <c r="AD7" s="1" t="s">
        <v>22</v>
      </c>
      <c r="AE7" s="1">
        <v>150</v>
      </c>
      <c r="AF7" s="1">
        <v>1</v>
      </c>
      <c r="AG7" s="1"/>
      <c r="AH7" s="13">
        <f t="shared" si="2"/>
        <v>1</v>
      </c>
      <c r="AI7" s="1">
        <f t="shared" si="3"/>
        <v>150</v>
      </c>
      <c r="AJ7" s="1"/>
    </row>
    <row r="8" spans="1:36" x14ac:dyDescent="0.2">
      <c r="A8" s="29" t="s">
        <v>17</v>
      </c>
      <c r="B8" s="2"/>
      <c r="C8" s="1" t="s">
        <v>40</v>
      </c>
      <c r="D8" s="1">
        <v>1</v>
      </c>
      <c r="E8" s="1" t="s">
        <v>41</v>
      </c>
      <c r="F8" s="13">
        <v>32</v>
      </c>
      <c r="G8" s="13">
        <v>1</v>
      </c>
      <c r="H8" s="13"/>
      <c r="I8" s="13">
        <f>IF(G8=0,(H8/D8),G8)</f>
        <v>1</v>
      </c>
      <c r="J8" s="13">
        <f t="shared" si="4"/>
        <v>32</v>
      </c>
      <c r="K8" s="13"/>
      <c r="M8" s="95"/>
      <c r="N8" s="2"/>
      <c r="O8" s="1" t="s">
        <v>42</v>
      </c>
      <c r="P8" s="1">
        <v>1</v>
      </c>
      <c r="Q8" s="1" t="s">
        <v>43</v>
      </c>
      <c r="R8" s="1">
        <v>200</v>
      </c>
      <c r="S8" s="1">
        <v>1</v>
      </c>
      <c r="T8" s="1"/>
      <c r="U8" s="13">
        <f t="shared" si="0"/>
        <v>1</v>
      </c>
      <c r="V8" s="1">
        <f t="shared" si="1"/>
        <v>200</v>
      </c>
      <c r="W8" s="1"/>
      <c r="Z8" s="94"/>
      <c r="AA8" s="2"/>
      <c r="AB8" s="1" t="s">
        <v>52</v>
      </c>
      <c r="AC8" s="1">
        <v>1</v>
      </c>
      <c r="AD8" s="1" t="s">
        <v>53</v>
      </c>
      <c r="AE8" s="1">
        <v>83</v>
      </c>
      <c r="AF8" s="1">
        <v>2</v>
      </c>
      <c r="AG8" s="1"/>
      <c r="AH8" s="13">
        <f t="shared" si="2"/>
        <v>2</v>
      </c>
      <c r="AI8" s="1">
        <f t="shared" si="3"/>
        <v>166</v>
      </c>
      <c r="AJ8" s="1"/>
    </row>
    <row r="9" spans="1:36" x14ac:dyDescent="0.2">
      <c r="A9" s="30" t="s">
        <v>44</v>
      </c>
      <c r="B9" s="2"/>
      <c r="C9" s="1" t="s">
        <v>45</v>
      </c>
      <c r="D9" s="1">
        <v>1</v>
      </c>
      <c r="E9" s="1" t="s">
        <v>46</v>
      </c>
      <c r="F9" s="13">
        <v>80</v>
      </c>
      <c r="G9" s="13">
        <v>1</v>
      </c>
      <c r="H9" s="13"/>
      <c r="I9" s="13">
        <f t="shared" ref="I9:I28" si="5">IF(G9=0,(H9/D9),G9)</f>
        <v>1</v>
      </c>
      <c r="J9" s="13">
        <f t="shared" si="4"/>
        <v>80</v>
      </c>
      <c r="K9" s="13"/>
      <c r="M9" s="93" t="s">
        <v>44</v>
      </c>
      <c r="N9" s="2"/>
      <c r="O9" s="1" t="s">
        <v>47</v>
      </c>
      <c r="P9" s="1">
        <v>6</v>
      </c>
      <c r="Q9" s="1" t="s">
        <v>48</v>
      </c>
      <c r="R9" s="1">
        <v>80</v>
      </c>
      <c r="S9" s="1">
        <v>1</v>
      </c>
      <c r="T9" s="1"/>
      <c r="U9" s="13">
        <f t="shared" si="0"/>
        <v>1</v>
      </c>
      <c r="V9" s="1">
        <f t="shared" si="1"/>
        <v>80</v>
      </c>
      <c r="W9" s="1"/>
      <c r="Z9" s="94"/>
      <c r="AA9" s="2"/>
      <c r="AB9" s="1" t="s">
        <v>50</v>
      </c>
      <c r="AC9" s="1">
        <v>1</v>
      </c>
      <c r="AD9" s="1" t="s">
        <v>56</v>
      </c>
      <c r="AE9" s="1">
        <v>130</v>
      </c>
      <c r="AF9" s="1">
        <v>1</v>
      </c>
      <c r="AG9" s="1"/>
      <c r="AH9" s="13">
        <f t="shared" si="2"/>
        <v>1</v>
      </c>
      <c r="AI9" s="1">
        <f t="shared" si="3"/>
        <v>130</v>
      </c>
      <c r="AJ9" s="1"/>
    </row>
    <row r="10" spans="1:36" x14ac:dyDescent="0.2">
      <c r="A10" s="30" t="s">
        <v>44</v>
      </c>
      <c r="B10" s="2"/>
      <c r="C10" s="1" t="s">
        <v>49</v>
      </c>
      <c r="D10" s="11"/>
      <c r="E10" s="1" t="s">
        <v>12</v>
      </c>
      <c r="F10" s="14"/>
      <c r="G10" s="13">
        <v>4</v>
      </c>
      <c r="H10" s="13"/>
      <c r="I10" s="13">
        <f t="shared" si="5"/>
        <v>4</v>
      </c>
      <c r="J10" s="13">
        <f t="shared" si="4"/>
        <v>0</v>
      </c>
      <c r="K10" s="13"/>
      <c r="M10" s="94"/>
      <c r="N10" s="2"/>
      <c r="O10" s="1" t="s">
        <v>50</v>
      </c>
      <c r="P10" s="1">
        <v>1</v>
      </c>
      <c r="Q10" s="1" t="s">
        <v>51</v>
      </c>
      <c r="R10" s="1">
        <v>130</v>
      </c>
      <c r="S10" s="1">
        <v>1</v>
      </c>
      <c r="T10" s="1"/>
      <c r="U10" s="13">
        <f t="shared" si="0"/>
        <v>1</v>
      </c>
      <c r="V10" s="1">
        <f t="shared" si="1"/>
        <v>130</v>
      </c>
      <c r="W10" s="1"/>
      <c r="Z10" s="94"/>
      <c r="AA10" s="2"/>
      <c r="AB10" s="1" t="s">
        <v>62</v>
      </c>
      <c r="AC10" s="1">
        <f>1/8</f>
        <v>0.125</v>
      </c>
      <c r="AD10" s="1" t="s">
        <v>53</v>
      </c>
      <c r="AE10" s="1">
        <v>30</v>
      </c>
      <c r="AF10" s="1">
        <v>1</v>
      </c>
      <c r="AG10" s="1"/>
      <c r="AH10" s="13">
        <f t="shared" si="2"/>
        <v>1</v>
      </c>
      <c r="AI10" s="1">
        <f t="shared" si="3"/>
        <v>30</v>
      </c>
      <c r="AJ10" s="1"/>
    </row>
    <row r="11" spans="1:36" x14ac:dyDescent="0.2">
      <c r="A11" s="30" t="s">
        <v>44</v>
      </c>
      <c r="B11" s="2"/>
      <c r="C11" s="1" t="s">
        <v>54</v>
      </c>
      <c r="D11" s="1">
        <v>1</v>
      </c>
      <c r="E11" s="1" t="s">
        <v>55</v>
      </c>
      <c r="F11" s="13">
        <v>105</v>
      </c>
      <c r="G11" s="13">
        <v>5</v>
      </c>
      <c r="H11" s="13"/>
      <c r="I11" s="13">
        <f t="shared" si="5"/>
        <v>5</v>
      </c>
      <c r="J11" s="13">
        <f t="shared" si="4"/>
        <v>525</v>
      </c>
      <c r="K11" s="13"/>
      <c r="M11" s="94"/>
      <c r="N11" s="2"/>
      <c r="O11" s="1" t="s">
        <v>33</v>
      </c>
      <c r="P11" s="1">
        <v>1</v>
      </c>
      <c r="Q11" s="1" t="s">
        <v>34</v>
      </c>
      <c r="R11" s="1">
        <v>50</v>
      </c>
      <c r="S11" s="1">
        <v>1</v>
      </c>
      <c r="T11" s="1"/>
      <c r="U11" s="13">
        <f t="shared" si="0"/>
        <v>1</v>
      </c>
      <c r="V11" s="1">
        <f t="shared" si="1"/>
        <v>50</v>
      </c>
      <c r="W11" s="1"/>
      <c r="Z11" s="94"/>
      <c r="AA11" s="2"/>
      <c r="AB11" s="1" t="s">
        <v>57</v>
      </c>
      <c r="AC11" s="1">
        <v>1</v>
      </c>
      <c r="AD11" s="1" t="s">
        <v>66</v>
      </c>
      <c r="AE11" s="1"/>
      <c r="AF11" s="1">
        <v>1</v>
      </c>
      <c r="AG11" s="1"/>
      <c r="AH11" s="13">
        <f t="shared" si="2"/>
        <v>1</v>
      </c>
      <c r="AI11" s="1">
        <f t="shared" si="3"/>
        <v>0</v>
      </c>
      <c r="AJ11" s="1" t="s">
        <v>59</v>
      </c>
    </row>
    <row r="12" spans="1:36" x14ac:dyDescent="0.2">
      <c r="A12" s="30" t="s">
        <v>44</v>
      </c>
      <c r="B12" s="2"/>
      <c r="C12" s="1" t="s">
        <v>57</v>
      </c>
      <c r="D12" s="1">
        <v>1</v>
      </c>
      <c r="E12" s="1" t="s">
        <v>58</v>
      </c>
      <c r="F12" s="13"/>
      <c r="G12" s="13">
        <v>2</v>
      </c>
      <c r="H12" s="13"/>
      <c r="I12" s="13">
        <f t="shared" si="5"/>
        <v>2</v>
      </c>
      <c r="J12" s="13">
        <f t="shared" si="4"/>
        <v>0</v>
      </c>
      <c r="K12" s="13" t="s">
        <v>59</v>
      </c>
      <c r="M12" s="94"/>
      <c r="N12" s="2"/>
      <c r="O12" s="1" t="s">
        <v>60</v>
      </c>
      <c r="P12" s="1"/>
      <c r="Q12" s="1" t="s">
        <v>61</v>
      </c>
      <c r="R12" s="1"/>
      <c r="S12" s="1">
        <v>1</v>
      </c>
      <c r="T12" s="1"/>
      <c r="U12" s="13">
        <f t="shared" si="0"/>
        <v>1</v>
      </c>
      <c r="V12" s="1">
        <f t="shared" si="1"/>
        <v>0</v>
      </c>
      <c r="W12" s="1"/>
      <c r="Z12" s="94"/>
      <c r="AA12" s="2"/>
      <c r="AB12" s="1" t="s">
        <v>70</v>
      </c>
      <c r="AC12" s="1">
        <v>1</v>
      </c>
      <c r="AD12" s="1" t="s">
        <v>71</v>
      </c>
      <c r="AE12" s="1">
        <v>132</v>
      </c>
      <c r="AF12" s="1">
        <v>1</v>
      </c>
      <c r="AG12" s="1"/>
      <c r="AH12" s="13">
        <f t="shared" si="2"/>
        <v>1</v>
      </c>
      <c r="AI12" s="1">
        <f t="shared" si="3"/>
        <v>132</v>
      </c>
      <c r="AJ12" s="1"/>
    </row>
    <row r="13" spans="1:36" x14ac:dyDescent="0.2">
      <c r="A13" s="30" t="s">
        <v>44</v>
      </c>
      <c r="B13" s="2"/>
      <c r="C13" s="1" t="s">
        <v>63</v>
      </c>
      <c r="D13" s="1">
        <f>1/8</f>
        <v>0.125</v>
      </c>
      <c r="E13" s="1" t="s">
        <v>53</v>
      </c>
      <c r="F13" s="13">
        <v>30</v>
      </c>
      <c r="G13" s="13">
        <v>1</v>
      </c>
      <c r="H13" s="13"/>
      <c r="I13" s="13">
        <f t="shared" si="5"/>
        <v>1</v>
      </c>
      <c r="J13" s="13">
        <f t="shared" si="4"/>
        <v>30</v>
      </c>
      <c r="K13" s="13"/>
      <c r="M13" s="94"/>
      <c r="N13" s="2"/>
      <c r="O13" s="1" t="s">
        <v>64</v>
      </c>
      <c r="P13" s="1">
        <v>1</v>
      </c>
      <c r="Q13" s="1" t="s">
        <v>65</v>
      </c>
      <c r="R13" s="1">
        <v>75</v>
      </c>
      <c r="S13" s="1">
        <v>1</v>
      </c>
      <c r="T13" s="1"/>
      <c r="U13" s="13">
        <f t="shared" si="0"/>
        <v>1</v>
      </c>
      <c r="V13" s="1">
        <f t="shared" si="1"/>
        <v>75</v>
      </c>
      <c r="W13" s="1"/>
      <c r="Z13" s="94"/>
      <c r="AA13" s="2"/>
      <c r="AB13" s="1" t="s">
        <v>67</v>
      </c>
      <c r="AC13" s="1">
        <v>1</v>
      </c>
      <c r="AD13" s="1" t="s">
        <v>29</v>
      </c>
      <c r="AE13" s="1">
        <v>58</v>
      </c>
      <c r="AF13" s="1">
        <v>0.5</v>
      </c>
      <c r="AG13" s="1"/>
      <c r="AH13" s="13">
        <f t="shared" si="2"/>
        <v>0.5</v>
      </c>
      <c r="AI13" s="1">
        <f t="shared" si="3"/>
        <v>29</v>
      </c>
      <c r="AJ13" s="1"/>
    </row>
    <row r="14" spans="1:36" x14ac:dyDescent="0.2">
      <c r="A14" s="30" t="s">
        <v>44</v>
      </c>
      <c r="B14" s="2"/>
      <c r="C14" s="1" t="s">
        <v>67</v>
      </c>
      <c r="D14" s="1">
        <v>1</v>
      </c>
      <c r="E14" s="1" t="s">
        <v>34</v>
      </c>
      <c r="F14" s="13">
        <v>58</v>
      </c>
      <c r="G14" s="13">
        <v>3</v>
      </c>
      <c r="H14" s="13"/>
      <c r="I14" s="13">
        <f t="shared" si="5"/>
        <v>3</v>
      </c>
      <c r="J14" s="13">
        <f t="shared" si="4"/>
        <v>174</v>
      </c>
      <c r="K14" s="13"/>
      <c r="M14" s="94"/>
      <c r="N14" s="2"/>
      <c r="O14" s="1" t="s">
        <v>68</v>
      </c>
      <c r="P14" s="1">
        <v>1</v>
      </c>
      <c r="Q14" s="1" t="s">
        <v>69</v>
      </c>
      <c r="R14" s="1"/>
      <c r="S14" s="1"/>
      <c r="T14" s="1"/>
      <c r="U14" s="13">
        <f t="shared" si="0"/>
        <v>0</v>
      </c>
      <c r="V14" s="1">
        <f t="shared" si="1"/>
        <v>0</v>
      </c>
      <c r="W14" s="1"/>
      <c r="Z14" s="95"/>
      <c r="AA14" s="2"/>
      <c r="AB14" s="1" t="s">
        <v>64</v>
      </c>
      <c r="AC14" s="1">
        <v>1</v>
      </c>
      <c r="AD14" s="1" t="s">
        <v>29</v>
      </c>
      <c r="AE14" s="1">
        <v>80</v>
      </c>
      <c r="AF14" s="1">
        <v>1</v>
      </c>
      <c r="AG14" s="1"/>
      <c r="AH14" s="13">
        <f t="shared" si="2"/>
        <v>1</v>
      </c>
      <c r="AI14" s="1">
        <f t="shared" si="3"/>
        <v>80</v>
      </c>
      <c r="AJ14" s="1"/>
    </row>
    <row r="15" spans="1:36" x14ac:dyDescent="0.2">
      <c r="A15" s="30" t="s">
        <v>44</v>
      </c>
      <c r="B15" s="2"/>
      <c r="C15" s="1" t="s">
        <v>72</v>
      </c>
      <c r="D15" s="11"/>
      <c r="E15" s="1" t="s">
        <v>73</v>
      </c>
      <c r="F15" s="14"/>
      <c r="G15" s="13">
        <v>1</v>
      </c>
      <c r="H15" s="13"/>
      <c r="I15" s="13">
        <f t="shared" si="5"/>
        <v>1</v>
      </c>
      <c r="J15" s="13">
        <f t="shared" si="4"/>
        <v>0</v>
      </c>
      <c r="K15" s="13"/>
      <c r="M15" s="95"/>
      <c r="N15" s="2"/>
      <c r="O15" s="1" t="s">
        <v>63</v>
      </c>
      <c r="P15" s="16">
        <f>1/8</f>
        <v>0.125</v>
      </c>
      <c r="Q15" s="1" t="s">
        <v>53</v>
      </c>
      <c r="R15" s="1">
        <v>30</v>
      </c>
      <c r="S15" s="1">
        <v>1</v>
      </c>
      <c r="T15" s="1"/>
      <c r="U15" s="13">
        <f t="shared" si="0"/>
        <v>1</v>
      </c>
      <c r="V15" s="1">
        <f t="shared" si="1"/>
        <v>30</v>
      </c>
      <c r="W15" s="1"/>
      <c r="Z15" s="90" t="s">
        <v>74</v>
      </c>
      <c r="AA15" s="2"/>
      <c r="AB15" s="1" t="s">
        <v>78</v>
      </c>
      <c r="AC15" s="1"/>
      <c r="AD15" s="1"/>
      <c r="AE15" s="1"/>
      <c r="AF15" s="1"/>
      <c r="AG15" s="1"/>
      <c r="AH15" s="13"/>
      <c r="AI15" s="1"/>
      <c r="AJ15" s="1"/>
    </row>
    <row r="16" spans="1:36" x14ac:dyDescent="0.2">
      <c r="A16" s="30" t="s">
        <v>74</v>
      </c>
      <c r="B16" s="2"/>
      <c r="C16" s="1" t="s">
        <v>75</v>
      </c>
      <c r="D16" s="1">
        <v>1</v>
      </c>
      <c r="E16" s="1" t="s">
        <v>76</v>
      </c>
      <c r="F16" s="13">
        <v>300</v>
      </c>
      <c r="G16" s="13">
        <v>1</v>
      </c>
      <c r="H16" s="13"/>
      <c r="I16" s="13">
        <f t="shared" si="5"/>
        <v>1</v>
      </c>
      <c r="J16" s="13">
        <f t="shared" si="4"/>
        <v>300</v>
      </c>
      <c r="K16" s="13"/>
      <c r="M16" s="93" t="s">
        <v>74</v>
      </c>
      <c r="N16" s="2"/>
      <c r="O16" s="1" t="s">
        <v>64</v>
      </c>
      <c r="P16" s="1">
        <v>1</v>
      </c>
      <c r="Q16" s="1" t="s">
        <v>77</v>
      </c>
      <c r="R16" s="1">
        <v>80</v>
      </c>
      <c r="S16" s="1">
        <v>1</v>
      </c>
      <c r="T16" s="1"/>
      <c r="U16" s="13">
        <f t="shared" si="0"/>
        <v>1</v>
      </c>
      <c r="V16" s="1">
        <f t="shared" si="1"/>
        <v>80</v>
      </c>
      <c r="W16" s="1"/>
      <c r="Z16" s="91"/>
      <c r="AA16" s="2"/>
      <c r="AB16" s="1" t="s">
        <v>81</v>
      </c>
      <c r="AC16" s="1">
        <v>1</v>
      </c>
      <c r="AD16" s="1" t="s">
        <v>29</v>
      </c>
      <c r="AE16" s="1">
        <v>100</v>
      </c>
      <c r="AF16" s="1">
        <v>1</v>
      </c>
      <c r="AG16" s="1"/>
      <c r="AH16" s="13">
        <f t="shared" ref="AH16:AH35" si="6">IF(AF16=0,(AG16/AC16),AF16)</f>
        <v>1</v>
      </c>
      <c r="AI16" s="1">
        <f t="shared" ref="AI16:AI35" si="7">AE16*AH16</f>
        <v>100</v>
      </c>
      <c r="AJ16" s="1"/>
    </row>
    <row r="17" spans="1:36" x14ac:dyDescent="0.2">
      <c r="A17" s="30" t="s">
        <v>74</v>
      </c>
      <c r="B17" s="2"/>
      <c r="C17" s="1" t="s">
        <v>79</v>
      </c>
      <c r="D17" s="1">
        <v>1</v>
      </c>
      <c r="E17" s="1" t="s">
        <v>34</v>
      </c>
      <c r="F17" s="13">
        <v>89</v>
      </c>
      <c r="G17" s="13">
        <v>1</v>
      </c>
      <c r="H17" s="13"/>
      <c r="I17" s="13">
        <f t="shared" si="5"/>
        <v>1</v>
      </c>
      <c r="J17" s="13">
        <f t="shared" si="4"/>
        <v>89</v>
      </c>
      <c r="K17" s="13"/>
      <c r="M17" s="94"/>
      <c r="N17" s="2"/>
      <c r="O17" s="1" t="s">
        <v>80</v>
      </c>
      <c r="P17" s="1">
        <v>3</v>
      </c>
      <c r="Q17" s="1" t="s">
        <v>12</v>
      </c>
      <c r="R17" s="1">
        <v>108</v>
      </c>
      <c r="S17" s="1">
        <v>1</v>
      </c>
      <c r="T17" s="1"/>
      <c r="U17" s="13">
        <f t="shared" si="0"/>
        <v>1</v>
      </c>
      <c r="V17" s="1">
        <f t="shared" si="1"/>
        <v>108</v>
      </c>
      <c r="W17" s="1"/>
      <c r="Z17" s="91"/>
      <c r="AA17" s="2"/>
      <c r="AB17" s="1" t="s">
        <v>67</v>
      </c>
      <c r="AC17" s="1">
        <v>1</v>
      </c>
      <c r="AD17" s="1" t="s">
        <v>29</v>
      </c>
      <c r="AE17" s="1">
        <v>58</v>
      </c>
      <c r="AF17" s="1">
        <v>0.5</v>
      </c>
      <c r="AG17" s="1"/>
      <c r="AH17" s="13">
        <f t="shared" si="6"/>
        <v>0.5</v>
      </c>
      <c r="AI17" s="1">
        <f t="shared" si="7"/>
        <v>29</v>
      </c>
      <c r="AJ17" s="1"/>
    </row>
    <row r="18" spans="1:36" x14ac:dyDescent="0.2">
      <c r="A18" s="30" t="s">
        <v>74</v>
      </c>
      <c r="B18" s="2"/>
      <c r="C18" s="1" t="s">
        <v>40</v>
      </c>
      <c r="D18" s="1">
        <v>1</v>
      </c>
      <c r="E18" s="1" t="s">
        <v>41</v>
      </c>
      <c r="F18" s="13">
        <v>65</v>
      </c>
      <c r="G18" s="13">
        <v>1</v>
      </c>
      <c r="H18" s="13"/>
      <c r="I18" s="13">
        <f t="shared" si="5"/>
        <v>1</v>
      </c>
      <c r="J18" s="13">
        <f t="shared" si="4"/>
        <v>65</v>
      </c>
      <c r="K18" s="13"/>
      <c r="M18" s="94"/>
      <c r="N18" s="2"/>
      <c r="O18" s="1" t="s">
        <v>60</v>
      </c>
      <c r="P18" s="1"/>
      <c r="Q18" s="1" t="s">
        <v>61</v>
      </c>
      <c r="R18" s="1"/>
      <c r="S18" s="1"/>
      <c r="T18" s="1"/>
      <c r="U18" s="13" t="e">
        <f t="shared" si="0"/>
        <v>#DIV/0!</v>
      </c>
      <c r="V18" s="1" t="e">
        <f t="shared" si="1"/>
        <v>#DIV/0!</v>
      </c>
      <c r="W18" s="1"/>
      <c r="Z18" s="91"/>
      <c r="AA18" s="2"/>
      <c r="AB18" s="1" t="s">
        <v>84</v>
      </c>
      <c r="AC18" s="1">
        <v>1</v>
      </c>
      <c r="AD18" s="1" t="s">
        <v>56</v>
      </c>
      <c r="AE18" s="1"/>
      <c r="AF18" s="1"/>
      <c r="AG18" s="1"/>
      <c r="AH18" s="13">
        <f t="shared" si="6"/>
        <v>0</v>
      </c>
      <c r="AI18" s="1">
        <f t="shared" si="7"/>
        <v>0</v>
      </c>
      <c r="AJ18" s="1"/>
    </row>
    <row r="19" spans="1:36" x14ac:dyDescent="0.2">
      <c r="A19" s="30" t="s">
        <v>74</v>
      </c>
      <c r="B19" s="2"/>
      <c r="C19" s="1" t="s">
        <v>82</v>
      </c>
      <c r="D19" s="1">
        <v>2</v>
      </c>
      <c r="E19" s="1" t="s">
        <v>34</v>
      </c>
      <c r="F19" s="13">
        <v>83</v>
      </c>
      <c r="G19" s="13">
        <v>2</v>
      </c>
      <c r="H19" s="13"/>
      <c r="I19" s="13">
        <f t="shared" si="5"/>
        <v>2</v>
      </c>
      <c r="J19" s="13">
        <f t="shared" si="4"/>
        <v>166</v>
      </c>
      <c r="K19" s="13"/>
      <c r="M19" s="95"/>
      <c r="N19" s="2"/>
      <c r="O19" s="1" t="s">
        <v>83</v>
      </c>
      <c r="P19" s="1">
        <v>1</v>
      </c>
      <c r="Q19" s="1" t="s">
        <v>43</v>
      </c>
      <c r="R19" s="1"/>
      <c r="S19" s="1">
        <v>1</v>
      </c>
      <c r="T19" s="1"/>
      <c r="U19" s="13">
        <f t="shared" si="0"/>
        <v>1</v>
      </c>
      <c r="V19" s="1">
        <f t="shared" si="1"/>
        <v>0</v>
      </c>
      <c r="W19" s="1"/>
      <c r="Z19" s="91"/>
      <c r="AA19" s="2"/>
      <c r="AB19" s="1" t="s">
        <v>87</v>
      </c>
      <c r="AC19" s="1">
        <v>1</v>
      </c>
      <c r="AD19" s="1" t="s">
        <v>88</v>
      </c>
      <c r="AE19" s="1">
        <v>66</v>
      </c>
      <c r="AF19" s="1">
        <v>2</v>
      </c>
      <c r="AG19" s="1"/>
      <c r="AH19" s="13">
        <f t="shared" si="6"/>
        <v>2</v>
      </c>
      <c r="AI19" s="1">
        <f t="shared" si="7"/>
        <v>132</v>
      </c>
      <c r="AJ19" s="1"/>
    </row>
    <row r="20" spans="1:36" x14ac:dyDescent="0.2">
      <c r="A20" s="30" t="s">
        <v>74</v>
      </c>
      <c r="B20" s="2"/>
      <c r="C20" s="1" t="s">
        <v>85</v>
      </c>
      <c r="D20" s="1">
        <v>2</v>
      </c>
      <c r="E20" s="1" t="s">
        <v>86</v>
      </c>
      <c r="F20" s="13"/>
      <c r="G20" s="13">
        <v>2</v>
      </c>
      <c r="H20" s="13"/>
      <c r="I20" s="13">
        <f t="shared" si="5"/>
        <v>2</v>
      </c>
      <c r="J20" s="13">
        <f t="shared" si="4"/>
        <v>0</v>
      </c>
      <c r="K20" s="13"/>
      <c r="M20" s="96" t="s">
        <v>384</v>
      </c>
      <c r="N20" s="2"/>
      <c r="O20" s="1" t="s">
        <v>100</v>
      </c>
      <c r="P20" s="1">
        <v>0.5</v>
      </c>
      <c r="Q20" s="1" t="s">
        <v>43</v>
      </c>
      <c r="R20" s="1"/>
      <c r="S20" s="1">
        <v>1</v>
      </c>
      <c r="T20" s="1"/>
      <c r="U20" s="13">
        <f t="shared" si="0"/>
        <v>1</v>
      </c>
      <c r="V20" s="1">
        <f t="shared" si="1"/>
        <v>0</v>
      </c>
      <c r="W20" s="1"/>
      <c r="Z20" s="91"/>
      <c r="AA20" s="2"/>
      <c r="AB20" s="1" t="s">
        <v>91</v>
      </c>
      <c r="AC20" s="1">
        <v>1</v>
      </c>
      <c r="AD20" s="1" t="s">
        <v>29</v>
      </c>
      <c r="AE20" s="1"/>
      <c r="AF20" s="1">
        <v>0.5</v>
      </c>
      <c r="AG20" s="1"/>
      <c r="AH20" s="13">
        <f t="shared" si="6"/>
        <v>0.5</v>
      </c>
      <c r="AI20" s="1">
        <f t="shared" si="7"/>
        <v>0</v>
      </c>
      <c r="AJ20" s="1"/>
    </row>
    <row r="21" spans="1:36" x14ac:dyDescent="0.2">
      <c r="A21" s="30" t="s">
        <v>74</v>
      </c>
      <c r="B21" s="2"/>
      <c r="C21" s="1" t="s">
        <v>89</v>
      </c>
      <c r="D21" s="1">
        <v>1</v>
      </c>
      <c r="E21" s="1" t="s">
        <v>90</v>
      </c>
      <c r="F21" s="13"/>
      <c r="G21" s="13">
        <v>1</v>
      </c>
      <c r="H21" s="13"/>
      <c r="I21" s="13">
        <f t="shared" si="5"/>
        <v>1</v>
      </c>
      <c r="J21" s="13">
        <f t="shared" si="4"/>
        <v>0</v>
      </c>
      <c r="K21" s="13"/>
      <c r="M21" s="94"/>
      <c r="N21" s="2"/>
      <c r="O21" s="1" t="s">
        <v>105</v>
      </c>
      <c r="P21" s="1">
        <v>4</v>
      </c>
      <c r="Q21" s="1" t="s">
        <v>106</v>
      </c>
      <c r="R21" s="1"/>
      <c r="S21" s="1">
        <v>1</v>
      </c>
      <c r="T21" s="1"/>
      <c r="U21" s="13">
        <f t="shared" si="0"/>
        <v>1</v>
      </c>
      <c r="V21" s="1">
        <f t="shared" si="1"/>
        <v>0</v>
      </c>
      <c r="W21" s="1"/>
      <c r="Z21" s="91"/>
      <c r="AA21" s="2"/>
      <c r="AB21" s="1" t="s">
        <v>93</v>
      </c>
      <c r="AC21" s="1">
        <v>1</v>
      </c>
      <c r="AD21" s="1" t="s">
        <v>94</v>
      </c>
      <c r="AE21" s="1"/>
      <c r="AF21" s="1">
        <v>1</v>
      </c>
      <c r="AG21" s="1"/>
      <c r="AH21" s="13">
        <f t="shared" si="6"/>
        <v>1</v>
      </c>
      <c r="AI21" s="1">
        <f t="shared" si="7"/>
        <v>0</v>
      </c>
      <c r="AJ21" s="1"/>
    </row>
    <row r="22" spans="1:36" x14ac:dyDescent="0.2">
      <c r="A22" s="30" t="s">
        <v>74</v>
      </c>
      <c r="B22" s="2"/>
      <c r="C22" s="1" t="s">
        <v>92</v>
      </c>
      <c r="D22" s="1">
        <v>1</v>
      </c>
      <c r="E22" s="1" t="s">
        <v>34</v>
      </c>
      <c r="F22" s="13"/>
      <c r="G22" s="13">
        <v>1</v>
      </c>
      <c r="H22" s="13"/>
      <c r="I22" s="13">
        <f t="shared" si="5"/>
        <v>1</v>
      </c>
      <c r="J22" s="13">
        <f t="shared" si="4"/>
        <v>0</v>
      </c>
      <c r="K22" s="13"/>
      <c r="M22" s="94"/>
      <c r="N22" s="2"/>
      <c r="O22" s="1" t="s">
        <v>110</v>
      </c>
      <c r="P22" s="1">
        <v>1</v>
      </c>
      <c r="Q22" s="1" t="s">
        <v>43</v>
      </c>
      <c r="R22" s="1"/>
      <c r="S22" s="1"/>
      <c r="T22" s="1"/>
      <c r="U22" s="13">
        <f t="shared" si="0"/>
        <v>0</v>
      </c>
      <c r="V22" s="1">
        <f t="shared" si="1"/>
        <v>0</v>
      </c>
      <c r="W22" s="1"/>
      <c r="Z22" s="96" t="s">
        <v>101</v>
      </c>
      <c r="AA22" s="2"/>
      <c r="AB22" s="1" t="s">
        <v>102</v>
      </c>
      <c r="AC22" s="1">
        <v>1</v>
      </c>
      <c r="AD22" s="1" t="s">
        <v>103</v>
      </c>
      <c r="AE22" s="1"/>
      <c r="AF22" s="1"/>
      <c r="AG22" s="1"/>
      <c r="AH22" s="13">
        <f t="shared" si="6"/>
        <v>0</v>
      </c>
      <c r="AI22" s="1">
        <f t="shared" si="7"/>
        <v>0</v>
      </c>
      <c r="AJ22" s="1"/>
    </row>
    <row r="23" spans="1:36" x14ac:dyDescent="0.2">
      <c r="A23" s="30" t="s">
        <v>74</v>
      </c>
      <c r="B23" s="2"/>
      <c r="C23" s="1" t="s">
        <v>95</v>
      </c>
      <c r="D23" s="1">
        <v>1</v>
      </c>
      <c r="E23" s="1" t="s">
        <v>96</v>
      </c>
      <c r="F23" s="13"/>
      <c r="G23" s="13">
        <v>1</v>
      </c>
      <c r="H23" s="13"/>
      <c r="I23" s="13">
        <f t="shared" si="5"/>
        <v>1</v>
      </c>
      <c r="J23" s="13">
        <f t="shared" si="4"/>
        <v>0</v>
      </c>
      <c r="K23" s="13"/>
      <c r="M23" s="95"/>
      <c r="N23" s="2"/>
      <c r="O23" s="1" t="s">
        <v>83</v>
      </c>
      <c r="P23" s="1">
        <v>1</v>
      </c>
      <c r="Q23" s="1" t="s">
        <v>43</v>
      </c>
      <c r="R23" s="1"/>
      <c r="S23" s="1">
        <v>1</v>
      </c>
      <c r="T23" s="1"/>
      <c r="U23" s="13">
        <f t="shared" si="0"/>
        <v>1</v>
      </c>
      <c r="V23" s="1">
        <f t="shared" si="1"/>
        <v>0</v>
      </c>
      <c r="W23" s="1"/>
      <c r="Z23" s="117"/>
      <c r="AA23" s="2"/>
      <c r="AB23" s="1" t="s">
        <v>107</v>
      </c>
      <c r="AC23" s="1">
        <v>1</v>
      </c>
      <c r="AD23" s="1" t="s">
        <v>103</v>
      </c>
      <c r="AE23" s="1"/>
      <c r="AF23" s="1"/>
      <c r="AG23" s="1"/>
      <c r="AH23" s="13">
        <f t="shared" si="6"/>
        <v>0</v>
      </c>
      <c r="AI23" s="1">
        <f t="shared" si="7"/>
        <v>0</v>
      </c>
      <c r="AJ23" s="1"/>
    </row>
    <row r="24" spans="1:36" ht="34" x14ac:dyDescent="0.2">
      <c r="A24" s="30" t="s">
        <v>97</v>
      </c>
      <c r="B24" s="2"/>
      <c r="C24" s="1" t="s">
        <v>98</v>
      </c>
      <c r="D24" s="1">
        <v>1</v>
      </c>
      <c r="E24" s="1" t="s">
        <v>34</v>
      </c>
      <c r="F24" s="13">
        <v>200</v>
      </c>
      <c r="G24" s="13">
        <v>1</v>
      </c>
      <c r="H24" s="13"/>
      <c r="I24" s="13">
        <f t="shared" si="5"/>
        <v>1</v>
      </c>
      <c r="J24" s="13">
        <f t="shared" si="4"/>
        <v>200</v>
      </c>
      <c r="K24" s="13"/>
      <c r="M24" s="12" t="s">
        <v>385</v>
      </c>
      <c r="N24" s="2"/>
      <c r="O24" s="1" t="s">
        <v>123</v>
      </c>
      <c r="P24" s="1">
        <v>1</v>
      </c>
      <c r="Q24" s="1" t="s">
        <v>124</v>
      </c>
      <c r="R24" s="1"/>
      <c r="S24" s="1">
        <v>1</v>
      </c>
      <c r="T24" s="1"/>
      <c r="U24" s="13">
        <f t="shared" si="0"/>
        <v>1</v>
      </c>
      <c r="V24" s="1">
        <f t="shared" si="1"/>
        <v>0</v>
      </c>
      <c r="W24" s="1"/>
      <c r="Z24" s="117"/>
      <c r="AA24" s="2"/>
      <c r="AB24" s="1" t="s">
        <v>111</v>
      </c>
      <c r="AC24" s="1">
        <v>1</v>
      </c>
      <c r="AD24" s="1" t="s">
        <v>103</v>
      </c>
      <c r="AE24" s="1"/>
      <c r="AF24" s="1"/>
      <c r="AG24" s="1"/>
      <c r="AH24" s="13">
        <f t="shared" si="6"/>
        <v>0</v>
      </c>
      <c r="AI24" s="1">
        <f t="shared" si="7"/>
        <v>0</v>
      </c>
      <c r="AJ24" s="1"/>
    </row>
    <row r="25" spans="1:36" x14ac:dyDescent="0.2">
      <c r="A25" s="30" t="s">
        <v>97</v>
      </c>
      <c r="B25" s="2"/>
      <c r="C25" s="1" t="s">
        <v>104</v>
      </c>
      <c r="D25" s="1">
        <v>1</v>
      </c>
      <c r="E25" s="1" t="s">
        <v>46</v>
      </c>
      <c r="F25" s="13">
        <v>112</v>
      </c>
      <c r="G25" s="13">
        <v>1</v>
      </c>
      <c r="H25" s="13"/>
      <c r="I25" s="13">
        <f t="shared" si="5"/>
        <v>1</v>
      </c>
      <c r="J25" s="13">
        <f t="shared" si="4"/>
        <v>112</v>
      </c>
      <c r="K25" s="13"/>
      <c r="Z25" s="117"/>
      <c r="AA25" s="2"/>
      <c r="AB25" s="1" t="s">
        <v>114</v>
      </c>
      <c r="AC25" s="1">
        <v>1</v>
      </c>
      <c r="AD25" s="1" t="s">
        <v>29</v>
      </c>
      <c r="AE25" s="1"/>
      <c r="AF25" s="1"/>
      <c r="AG25" s="1"/>
      <c r="AH25" s="13">
        <f t="shared" si="6"/>
        <v>0</v>
      </c>
      <c r="AI25" s="1">
        <f t="shared" si="7"/>
        <v>0</v>
      </c>
      <c r="AJ25" s="1"/>
    </row>
    <row r="26" spans="1:36" x14ac:dyDescent="0.2">
      <c r="A26" s="30" t="s">
        <v>97</v>
      </c>
      <c r="B26" s="2"/>
      <c r="C26" s="1" t="s">
        <v>108</v>
      </c>
      <c r="D26" s="1">
        <v>1</v>
      </c>
      <c r="E26" s="1" t="s">
        <v>109</v>
      </c>
      <c r="F26" s="13">
        <v>50</v>
      </c>
      <c r="G26" s="13">
        <v>1</v>
      </c>
      <c r="H26" s="13"/>
      <c r="I26" s="13">
        <f t="shared" si="5"/>
        <v>1</v>
      </c>
      <c r="J26" s="13">
        <f t="shared" si="4"/>
        <v>50</v>
      </c>
      <c r="K26" s="13"/>
      <c r="Z26" s="117"/>
      <c r="AA26" s="2"/>
      <c r="AB26" s="1" t="s">
        <v>117</v>
      </c>
      <c r="AC26" s="1">
        <v>1</v>
      </c>
      <c r="AD26" s="1" t="s">
        <v>118</v>
      </c>
      <c r="AE26" s="1">
        <v>110</v>
      </c>
      <c r="AF26" s="1">
        <v>1</v>
      </c>
      <c r="AG26" s="1"/>
      <c r="AH26" s="13">
        <f t="shared" si="6"/>
        <v>1</v>
      </c>
      <c r="AI26" s="1">
        <f t="shared" si="7"/>
        <v>110</v>
      </c>
      <c r="AJ26" s="1"/>
    </row>
    <row r="27" spans="1:36" x14ac:dyDescent="0.2">
      <c r="A27" s="30" t="s">
        <v>97</v>
      </c>
      <c r="B27" s="2"/>
      <c r="C27" s="1" t="s">
        <v>112</v>
      </c>
      <c r="D27" s="1">
        <v>1</v>
      </c>
      <c r="E27" s="1" t="s">
        <v>113</v>
      </c>
      <c r="F27" s="13">
        <v>5</v>
      </c>
      <c r="G27" s="13">
        <v>2</v>
      </c>
      <c r="H27" s="13"/>
      <c r="I27" s="13">
        <f t="shared" si="5"/>
        <v>2</v>
      </c>
      <c r="J27" s="13">
        <f t="shared" si="4"/>
        <v>10</v>
      </c>
      <c r="K27" s="13"/>
      <c r="Z27" s="117"/>
      <c r="AA27" s="2"/>
      <c r="AB27" s="1" t="s">
        <v>119</v>
      </c>
      <c r="AC27" s="1">
        <v>1</v>
      </c>
      <c r="AD27" s="1" t="s">
        <v>71</v>
      </c>
      <c r="AE27" s="1">
        <v>112</v>
      </c>
      <c r="AF27" s="1">
        <v>1</v>
      </c>
      <c r="AG27" s="1"/>
      <c r="AH27" s="13">
        <f t="shared" si="6"/>
        <v>1</v>
      </c>
      <c r="AI27" s="1">
        <f t="shared" si="7"/>
        <v>112</v>
      </c>
      <c r="AJ27" s="1"/>
    </row>
    <row r="28" spans="1:36" x14ac:dyDescent="0.2">
      <c r="A28" s="30" t="s">
        <v>97</v>
      </c>
      <c r="B28" s="2"/>
      <c r="C28" s="1" t="s">
        <v>115</v>
      </c>
      <c r="D28" s="1">
        <v>3</v>
      </c>
      <c r="E28" s="1" t="s">
        <v>116</v>
      </c>
      <c r="F28" s="13">
        <v>18</v>
      </c>
      <c r="G28" s="13">
        <v>1</v>
      </c>
      <c r="H28" s="13"/>
      <c r="I28" s="13">
        <f t="shared" si="5"/>
        <v>1</v>
      </c>
      <c r="J28" s="13">
        <f t="shared" si="4"/>
        <v>18</v>
      </c>
      <c r="K28" s="13"/>
      <c r="Z28" s="118"/>
      <c r="AA28" s="2"/>
      <c r="AB28" s="1" t="s">
        <v>120</v>
      </c>
      <c r="AC28" s="1">
        <v>9</v>
      </c>
      <c r="AD28" s="1" t="s">
        <v>20</v>
      </c>
      <c r="AE28" s="1">
        <v>161</v>
      </c>
      <c r="AF28" s="1"/>
      <c r="AG28" s="1">
        <v>6</v>
      </c>
      <c r="AH28" s="13">
        <f t="shared" si="6"/>
        <v>0.66666666666666663</v>
      </c>
      <c r="AI28" s="1">
        <f t="shared" si="7"/>
        <v>107.33333333333333</v>
      </c>
      <c r="AJ28" s="1"/>
    </row>
    <row r="29" spans="1:36" x14ac:dyDescent="0.2">
      <c r="A29" s="29" t="s">
        <v>17</v>
      </c>
      <c r="B29" s="2" t="s">
        <v>18</v>
      </c>
      <c r="C29" s="1" t="s">
        <v>19</v>
      </c>
      <c r="D29" s="1">
        <v>9</v>
      </c>
      <c r="E29" s="1" t="s">
        <v>20</v>
      </c>
      <c r="F29" s="1">
        <v>161</v>
      </c>
      <c r="G29" s="1"/>
      <c r="H29" s="1">
        <v>3</v>
      </c>
      <c r="I29" s="13">
        <f>IF(G29=0,(H29/D29),G29)</f>
        <v>0.33333333333333331</v>
      </c>
      <c r="J29" s="1">
        <f>F29*I29</f>
        <v>53.666666666666664</v>
      </c>
      <c r="K29" s="1"/>
      <c r="Z29" s="93" t="s">
        <v>125</v>
      </c>
      <c r="AA29" s="2"/>
      <c r="AB29" s="1" t="s">
        <v>102</v>
      </c>
      <c r="AC29" s="1">
        <v>1</v>
      </c>
      <c r="AD29" s="1" t="s">
        <v>103</v>
      </c>
      <c r="AE29" s="1"/>
      <c r="AF29" s="1"/>
      <c r="AG29" s="1"/>
      <c r="AH29" s="13">
        <f t="shared" si="6"/>
        <v>0</v>
      </c>
      <c r="AI29" s="1">
        <f t="shared" si="7"/>
        <v>0</v>
      </c>
      <c r="AJ29" s="1"/>
    </row>
    <row r="30" spans="1:36" x14ac:dyDescent="0.2">
      <c r="A30" s="29" t="s">
        <v>17</v>
      </c>
      <c r="B30" s="6"/>
      <c r="C30" s="8" t="s">
        <v>26</v>
      </c>
      <c r="D30" s="1">
        <v>1</v>
      </c>
      <c r="E30" s="1" t="s">
        <v>27</v>
      </c>
      <c r="F30" s="1">
        <v>52</v>
      </c>
      <c r="G30" s="1">
        <v>1</v>
      </c>
      <c r="H30" s="1"/>
      <c r="I30" s="13">
        <f t="shared" ref="I30:I35" si="8">IF(G30=0,(H30/D30),G30)</f>
        <v>1</v>
      </c>
      <c r="J30" s="1">
        <f t="shared" ref="J30:J35" si="9">F30*I30</f>
        <v>52</v>
      </c>
      <c r="K30" s="1"/>
      <c r="Z30" s="94"/>
      <c r="AA30" s="2"/>
      <c r="AB30" s="1" t="s">
        <v>107</v>
      </c>
      <c r="AC30" s="1">
        <v>1</v>
      </c>
      <c r="AD30" s="1" t="s">
        <v>103</v>
      </c>
      <c r="AE30" s="1"/>
      <c r="AF30" s="1"/>
      <c r="AG30" s="1"/>
      <c r="AH30" s="13">
        <f t="shared" si="6"/>
        <v>0</v>
      </c>
      <c r="AI30" s="1">
        <f t="shared" si="7"/>
        <v>0</v>
      </c>
      <c r="AJ30" s="1"/>
    </row>
    <row r="31" spans="1:36" x14ac:dyDescent="0.2">
      <c r="A31" s="29" t="s">
        <v>17</v>
      </c>
      <c r="B31" s="2"/>
      <c r="C31" s="1" t="s">
        <v>33</v>
      </c>
      <c r="D31" s="1">
        <v>1</v>
      </c>
      <c r="E31" s="1" t="s">
        <v>34</v>
      </c>
      <c r="F31" s="1">
        <v>50</v>
      </c>
      <c r="G31" s="1">
        <v>2</v>
      </c>
      <c r="H31" s="1"/>
      <c r="I31" s="13">
        <f t="shared" si="8"/>
        <v>2</v>
      </c>
      <c r="J31" s="1">
        <f t="shared" si="9"/>
        <v>100</v>
      </c>
      <c r="K31" s="1"/>
      <c r="Z31" s="94"/>
      <c r="AA31" s="2"/>
      <c r="AB31" s="1" t="s">
        <v>111</v>
      </c>
      <c r="AC31" s="1">
        <v>1</v>
      </c>
      <c r="AD31" s="1" t="s">
        <v>103</v>
      </c>
      <c r="AE31" s="1"/>
      <c r="AF31" s="1"/>
      <c r="AG31" s="1"/>
      <c r="AH31" s="13">
        <f t="shared" si="6"/>
        <v>0</v>
      </c>
      <c r="AI31" s="1">
        <f t="shared" si="7"/>
        <v>0</v>
      </c>
      <c r="AJ31" s="1"/>
    </row>
    <row r="32" spans="1:36" x14ac:dyDescent="0.2">
      <c r="A32" s="29" t="s">
        <v>17</v>
      </c>
      <c r="B32" s="2"/>
      <c r="C32" s="1" t="s">
        <v>38</v>
      </c>
      <c r="D32" s="1">
        <v>1</v>
      </c>
      <c r="E32" s="1" t="s">
        <v>39</v>
      </c>
      <c r="F32" s="1">
        <v>20</v>
      </c>
      <c r="G32" s="1">
        <v>1</v>
      </c>
      <c r="H32" s="1"/>
      <c r="I32" s="13">
        <f t="shared" si="8"/>
        <v>1</v>
      </c>
      <c r="J32" s="1">
        <f t="shared" si="9"/>
        <v>20</v>
      </c>
      <c r="K32" s="1"/>
      <c r="Z32" s="94"/>
      <c r="AA32" s="2"/>
      <c r="AB32" s="1" t="s">
        <v>114</v>
      </c>
      <c r="AC32" s="1">
        <v>1</v>
      </c>
      <c r="AD32" s="1" t="s">
        <v>29</v>
      </c>
      <c r="AE32" s="1"/>
      <c r="AF32" s="1"/>
      <c r="AG32" s="1"/>
      <c r="AH32" s="13">
        <f t="shared" si="6"/>
        <v>0</v>
      </c>
      <c r="AI32" s="1">
        <f t="shared" si="7"/>
        <v>0</v>
      </c>
      <c r="AJ32" s="1"/>
    </row>
    <row r="33" spans="1:36" x14ac:dyDescent="0.2">
      <c r="A33" s="29" t="s">
        <v>17</v>
      </c>
      <c r="B33" s="2"/>
      <c r="C33" s="1" t="s">
        <v>42</v>
      </c>
      <c r="D33" s="1">
        <v>1</v>
      </c>
      <c r="E33" s="1" t="s">
        <v>43</v>
      </c>
      <c r="F33" s="1">
        <v>200</v>
      </c>
      <c r="G33" s="1">
        <v>1</v>
      </c>
      <c r="H33" s="1"/>
      <c r="I33" s="13">
        <f t="shared" si="8"/>
        <v>1</v>
      </c>
      <c r="J33" s="1">
        <f t="shared" si="9"/>
        <v>200</v>
      </c>
      <c r="K33" s="1"/>
      <c r="Z33" s="94"/>
      <c r="AA33" s="2"/>
      <c r="AB33" s="1" t="s">
        <v>117</v>
      </c>
      <c r="AC33" s="1">
        <v>1</v>
      </c>
      <c r="AD33" s="1" t="s">
        <v>118</v>
      </c>
      <c r="AE33" s="1">
        <v>110</v>
      </c>
      <c r="AF33" s="1">
        <v>1</v>
      </c>
      <c r="AG33" s="1"/>
      <c r="AH33" s="13">
        <f t="shared" si="6"/>
        <v>1</v>
      </c>
      <c r="AI33" s="1">
        <f t="shared" si="7"/>
        <v>110</v>
      </c>
      <c r="AJ33" s="1"/>
    </row>
    <row r="34" spans="1:36" x14ac:dyDescent="0.2">
      <c r="A34" s="29" t="s">
        <v>44</v>
      </c>
      <c r="B34" s="2"/>
      <c r="C34" s="1" t="s">
        <v>47</v>
      </c>
      <c r="D34" s="1">
        <v>6</v>
      </c>
      <c r="E34" s="1" t="s">
        <v>48</v>
      </c>
      <c r="F34" s="1">
        <v>80</v>
      </c>
      <c r="G34" s="1">
        <v>1</v>
      </c>
      <c r="H34" s="1"/>
      <c r="I34" s="13">
        <f t="shared" si="8"/>
        <v>1</v>
      </c>
      <c r="J34" s="1">
        <f t="shared" si="9"/>
        <v>80</v>
      </c>
      <c r="K34" s="1"/>
      <c r="Z34" s="94"/>
      <c r="AA34" s="2"/>
      <c r="AB34" s="1" t="s">
        <v>119</v>
      </c>
      <c r="AC34" s="1">
        <v>1</v>
      </c>
      <c r="AD34" s="1" t="s">
        <v>71</v>
      </c>
      <c r="AE34" s="1">
        <v>112</v>
      </c>
      <c r="AF34" s="1">
        <v>1</v>
      </c>
      <c r="AG34" s="1"/>
      <c r="AH34" s="13">
        <f t="shared" si="6"/>
        <v>1</v>
      </c>
      <c r="AI34" s="1">
        <f t="shared" si="7"/>
        <v>112</v>
      </c>
      <c r="AJ34" s="1"/>
    </row>
    <row r="35" spans="1:36" x14ac:dyDescent="0.2">
      <c r="A35" s="29" t="s">
        <v>44</v>
      </c>
      <c r="B35" s="2"/>
      <c r="C35" s="1" t="s">
        <v>50</v>
      </c>
      <c r="D35" s="1">
        <v>1</v>
      </c>
      <c r="E35" s="1" t="s">
        <v>51</v>
      </c>
      <c r="F35" s="1">
        <v>130</v>
      </c>
      <c r="G35" s="1">
        <v>1</v>
      </c>
      <c r="H35" s="1"/>
      <c r="I35" s="13">
        <f t="shared" si="8"/>
        <v>1</v>
      </c>
      <c r="J35" s="1">
        <f t="shared" si="9"/>
        <v>130</v>
      </c>
      <c r="K35" s="1"/>
      <c r="Z35" s="95"/>
      <c r="AA35" s="2"/>
      <c r="AB35" s="1" t="s">
        <v>120</v>
      </c>
      <c r="AC35" s="1">
        <v>9</v>
      </c>
      <c r="AD35" s="1" t="s">
        <v>20</v>
      </c>
      <c r="AE35" s="1">
        <v>161</v>
      </c>
      <c r="AF35" s="1"/>
      <c r="AG35" s="1">
        <v>6</v>
      </c>
      <c r="AH35" s="13">
        <f t="shared" si="6"/>
        <v>0.66666666666666663</v>
      </c>
      <c r="AI35" s="1">
        <f t="shared" si="7"/>
        <v>107.33333333333333</v>
      </c>
      <c r="AJ35" s="1"/>
    </row>
  </sheetData>
  <mergeCells count="15">
    <mergeCell ref="Z29:Z35"/>
    <mergeCell ref="M4:M8"/>
    <mergeCell ref="Z4:Z6"/>
    <mergeCell ref="Z7:Z14"/>
    <mergeCell ref="M9:M15"/>
    <mergeCell ref="Z15:Z21"/>
    <mergeCell ref="M16:M19"/>
    <mergeCell ref="M20:M23"/>
    <mergeCell ref="Z22:Z28"/>
    <mergeCell ref="AF1:AJ2"/>
    <mergeCell ref="A1:F2"/>
    <mergeCell ref="G1:K2"/>
    <mergeCell ref="M1:R2"/>
    <mergeCell ref="S1:W2"/>
    <mergeCell ref="Z1:AE2"/>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DDFA5-8ACE-AC48-A766-659852C28C2F}">
  <dimension ref="C2:AL48"/>
  <sheetViews>
    <sheetView topLeftCell="AA4" zoomScaleNormal="150" workbookViewId="0">
      <selection activeCell="AB5" sqref="AB5"/>
    </sheetView>
  </sheetViews>
  <sheetFormatPr baseColWidth="10" defaultColWidth="10.83203125" defaultRowHeight="16" x14ac:dyDescent="0.2"/>
  <cols>
    <col min="4" max="4" width="14.83203125" hidden="1" customWidth="1"/>
    <col min="5" max="5" width="23.5" customWidth="1"/>
    <col min="6" max="6" width="11.83203125" customWidth="1"/>
    <col min="7" max="7" width="23.5" bestFit="1" customWidth="1"/>
    <col min="8" max="9" width="10.83203125" style="15"/>
    <col min="10" max="10" width="8.5" style="15" customWidth="1"/>
    <col min="11" max="11" width="10.83203125" style="15"/>
    <col min="12" max="12" width="14.1640625" style="15" customWidth="1"/>
    <col min="13" max="13" width="19.5" style="15" bestFit="1" customWidth="1"/>
    <col min="16" max="16" width="0" hidden="1" customWidth="1"/>
    <col min="17" max="17" width="23.5" bestFit="1" customWidth="1"/>
    <col min="18" max="18" width="15.83203125" bestFit="1" customWidth="1"/>
    <col min="19" max="19" width="23.33203125" bestFit="1" customWidth="1"/>
    <col min="20" max="21" width="12.83203125" bestFit="1" customWidth="1"/>
    <col min="22" max="22" width="12.83203125" customWidth="1"/>
    <col min="23" max="23" width="11.33203125" bestFit="1" customWidth="1"/>
    <col min="24" max="24" width="12.6640625" customWidth="1"/>
    <col min="25" max="25" width="18.5" customWidth="1"/>
    <col min="26" max="26" width="13.1640625" customWidth="1"/>
    <col min="29" max="29" width="0" hidden="1" customWidth="1"/>
    <col min="30" max="30" width="20.1640625" customWidth="1"/>
    <col min="31" max="31" width="10.83203125" customWidth="1"/>
    <col min="32" max="32" width="21.5" customWidth="1"/>
    <col min="38" max="38" width="36" customWidth="1"/>
  </cols>
  <sheetData>
    <row r="2" spans="3:38" ht="16" customHeight="1" x14ac:dyDescent="0.2">
      <c r="C2" s="116" t="s">
        <v>0</v>
      </c>
      <c r="D2" s="116"/>
      <c r="E2" s="116"/>
      <c r="F2" s="116"/>
      <c r="G2" s="116"/>
      <c r="H2" s="116"/>
      <c r="I2" s="116" t="s">
        <v>1</v>
      </c>
      <c r="J2" s="116"/>
      <c r="K2" s="116"/>
      <c r="L2" s="116"/>
      <c r="M2" s="116"/>
      <c r="O2" s="116" t="s">
        <v>2</v>
      </c>
      <c r="P2" s="116"/>
      <c r="Q2" s="116"/>
      <c r="R2" s="116"/>
      <c r="S2" s="116"/>
      <c r="T2" s="116"/>
      <c r="U2" s="116" t="s">
        <v>3</v>
      </c>
      <c r="V2" s="116"/>
      <c r="W2" s="116"/>
      <c r="X2" s="116"/>
      <c r="Y2" s="116"/>
      <c r="AB2" s="116" t="s">
        <v>4</v>
      </c>
      <c r="AC2" s="116"/>
      <c r="AD2" s="116"/>
      <c r="AE2" s="116"/>
      <c r="AF2" s="116"/>
      <c r="AG2" s="116"/>
      <c r="AH2" s="116" t="s">
        <v>5</v>
      </c>
      <c r="AI2" s="116"/>
      <c r="AJ2" s="116"/>
      <c r="AK2" s="116"/>
      <c r="AL2" s="116"/>
    </row>
    <row r="3" spans="3:38" ht="16" customHeight="1" x14ac:dyDescent="0.2">
      <c r="C3" s="116"/>
      <c r="D3" s="116"/>
      <c r="E3" s="116"/>
      <c r="F3" s="116"/>
      <c r="G3" s="116"/>
      <c r="H3" s="116"/>
      <c r="I3" s="116"/>
      <c r="J3" s="116"/>
      <c r="K3" s="116"/>
      <c r="L3" s="116"/>
      <c r="M3" s="116"/>
      <c r="O3" s="116"/>
      <c r="P3" s="116"/>
      <c r="Q3" s="116"/>
      <c r="R3" s="116"/>
      <c r="S3" s="116"/>
      <c r="T3" s="116"/>
      <c r="U3" s="116"/>
      <c r="V3" s="116"/>
      <c r="W3" s="116"/>
      <c r="X3" s="116"/>
      <c r="Y3" s="116"/>
      <c r="AB3" s="116"/>
      <c r="AC3" s="116"/>
      <c r="AD3" s="116"/>
      <c r="AE3" s="116"/>
      <c r="AF3" s="116"/>
      <c r="AG3" s="116"/>
      <c r="AH3" s="116"/>
      <c r="AI3" s="116"/>
      <c r="AJ3" s="116"/>
      <c r="AK3" s="116"/>
      <c r="AL3" s="116"/>
    </row>
    <row r="4" spans="3:38" ht="51" x14ac:dyDescent="0.2">
      <c r="C4" s="1"/>
      <c r="D4" s="5" t="s">
        <v>6</v>
      </c>
      <c r="E4" s="12" t="s">
        <v>7</v>
      </c>
      <c r="F4" s="12" t="s">
        <v>8</v>
      </c>
      <c r="G4" s="12" t="s">
        <v>9</v>
      </c>
      <c r="H4" s="12" t="s">
        <v>10</v>
      </c>
      <c r="I4" s="12" t="s">
        <v>11</v>
      </c>
      <c r="J4" s="12" t="s">
        <v>12</v>
      </c>
      <c r="K4" s="12" t="s">
        <v>13</v>
      </c>
      <c r="L4" s="12" t="s">
        <v>14</v>
      </c>
      <c r="M4" s="12" t="s">
        <v>153</v>
      </c>
      <c r="O4" s="1"/>
      <c r="P4" s="5" t="s">
        <v>6</v>
      </c>
      <c r="Q4" s="5" t="s">
        <v>7</v>
      </c>
      <c r="R4" s="5" t="s">
        <v>15</v>
      </c>
      <c r="S4" s="5" t="s">
        <v>9</v>
      </c>
      <c r="T4" s="5" t="s">
        <v>10</v>
      </c>
      <c r="U4" s="5" t="s">
        <v>11</v>
      </c>
      <c r="V4" s="5" t="s">
        <v>12</v>
      </c>
      <c r="W4" s="5" t="s">
        <v>13</v>
      </c>
      <c r="X4" s="5" t="s">
        <v>14</v>
      </c>
      <c r="Y4" s="12" t="s">
        <v>153</v>
      </c>
      <c r="AB4" s="1"/>
      <c r="AC4" s="5" t="s">
        <v>6</v>
      </c>
      <c r="AD4" s="5" t="s">
        <v>7</v>
      </c>
      <c r="AE4" s="5" t="s">
        <v>15</v>
      </c>
      <c r="AF4" s="5" t="s">
        <v>9</v>
      </c>
      <c r="AG4" s="5" t="s">
        <v>10</v>
      </c>
      <c r="AH4" s="5" t="s">
        <v>11</v>
      </c>
      <c r="AI4" s="5" t="s">
        <v>12</v>
      </c>
      <c r="AJ4" s="5" t="s">
        <v>13</v>
      </c>
      <c r="AK4" s="5" t="s">
        <v>14</v>
      </c>
      <c r="AL4" s="5" t="s">
        <v>153</v>
      </c>
    </row>
    <row r="5" spans="3:38" x14ac:dyDescent="0.2">
      <c r="C5" s="93" t="s">
        <v>17</v>
      </c>
      <c r="D5" s="2" t="s">
        <v>18</v>
      </c>
      <c r="E5" s="7" t="s">
        <v>237</v>
      </c>
      <c r="F5" s="1">
        <v>1</v>
      </c>
      <c r="G5" s="1" t="s">
        <v>35</v>
      </c>
      <c r="H5" s="13">
        <v>52</v>
      </c>
      <c r="I5" s="13">
        <v>1</v>
      </c>
      <c r="J5" s="13"/>
      <c r="K5" s="13">
        <f>IF(I5=0,(J5/F5),I5)</f>
        <v>1</v>
      </c>
      <c r="L5" s="13">
        <f>K5*H5</f>
        <v>52</v>
      </c>
      <c r="M5" s="13"/>
      <c r="O5" s="93" t="s">
        <v>17</v>
      </c>
      <c r="P5" s="2" t="s">
        <v>18</v>
      </c>
      <c r="Q5" s="1" t="s">
        <v>70</v>
      </c>
      <c r="R5" s="1">
        <v>1</v>
      </c>
      <c r="S5" s="1" t="s">
        <v>53</v>
      </c>
      <c r="T5" s="1">
        <v>132</v>
      </c>
      <c r="U5" s="1">
        <v>1</v>
      </c>
      <c r="V5" s="1"/>
      <c r="W5" s="13">
        <f>IF(U5=0,(V5/R5),U5)</f>
        <v>1</v>
      </c>
      <c r="X5" s="1">
        <f>T5*W5</f>
        <v>132</v>
      </c>
      <c r="Y5" s="1"/>
      <c r="AB5" s="93" t="s">
        <v>17</v>
      </c>
      <c r="AC5" s="6"/>
      <c r="AD5" s="1" t="s">
        <v>240</v>
      </c>
      <c r="AE5" s="1">
        <v>1</v>
      </c>
      <c r="AF5" s="1" t="s">
        <v>310</v>
      </c>
      <c r="AG5" s="1">
        <v>30</v>
      </c>
      <c r="AH5" s="1">
        <v>1</v>
      </c>
      <c r="AI5" s="1"/>
      <c r="AJ5" s="13">
        <f>IF(AH5=0,(AI5/AE5),AH5)</f>
        <v>1</v>
      </c>
      <c r="AK5" s="1">
        <f>AG5*AJ5</f>
        <v>30</v>
      </c>
      <c r="AL5" s="1"/>
    </row>
    <row r="6" spans="3:38" x14ac:dyDescent="0.2">
      <c r="C6" s="94"/>
      <c r="D6" s="6" t="s">
        <v>23</v>
      </c>
      <c r="E6" s="8" t="s">
        <v>238</v>
      </c>
      <c r="F6" s="1">
        <v>1</v>
      </c>
      <c r="G6" s="1" t="s">
        <v>239</v>
      </c>
      <c r="H6" s="13">
        <v>300</v>
      </c>
      <c r="I6" s="13">
        <v>1</v>
      </c>
      <c r="J6" s="13"/>
      <c r="K6" s="13">
        <f t="shared" ref="K6:K28" si="0">IF(I6=0,(J6/F6),I6)</f>
        <v>1</v>
      </c>
      <c r="L6" s="13">
        <f t="shared" ref="L6:L28" si="1">K6*H6</f>
        <v>300</v>
      </c>
      <c r="M6" s="13"/>
      <c r="O6" s="94"/>
      <c r="P6" s="6"/>
      <c r="Q6" s="8" t="s">
        <v>78</v>
      </c>
      <c r="R6" s="1"/>
      <c r="S6" s="1"/>
      <c r="T6" s="1"/>
      <c r="U6" s="1">
        <v>0.5</v>
      </c>
      <c r="V6" s="1"/>
      <c r="W6" s="13">
        <f t="shared" ref="W6:W48" si="2">IF(U6=0,(V6/R6),U6)</f>
        <v>0.5</v>
      </c>
      <c r="X6" s="1">
        <f t="shared" ref="X6:X48" si="3">T6*W6</f>
        <v>0</v>
      </c>
      <c r="Y6" s="1"/>
      <c r="AB6" s="94"/>
      <c r="AC6" s="6"/>
      <c r="AD6" s="10" t="s">
        <v>311</v>
      </c>
      <c r="AE6" s="1">
        <v>1</v>
      </c>
      <c r="AF6" s="1" t="s">
        <v>29</v>
      </c>
      <c r="AG6" s="1">
        <v>50</v>
      </c>
      <c r="AH6" s="1">
        <v>2</v>
      </c>
      <c r="AI6" s="1"/>
      <c r="AJ6" s="13">
        <f t="shared" ref="AJ6:AJ23" si="4">IF(AH6=0,(AI6/AE6),AH6)</f>
        <v>2</v>
      </c>
      <c r="AK6" s="1">
        <f t="shared" ref="AK6:AK23" si="5">AG6*AJ6</f>
        <v>100</v>
      </c>
      <c r="AL6" s="1"/>
    </row>
    <row r="7" spans="3:38" x14ac:dyDescent="0.2">
      <c r="C7" s="94"/>
      <c r="D7" s="2" t="s">
        <v>30</v>
      </c>
      <c r="E7" s="7" t="s">
        <v>240</v>
      </c>
      <c r="F7" s="1">
        <v>1</v>
      </c>
      <c r="G7" s="1" t="s">
        <v>241</v>
      </c>
      <c r="H7" s="13">
        <v>30</v>
      </c>
      <c r="I7" s="13">
        <v>1</v>
      </c>
      <c r="J7" s="13"/>
      <c r="K7" s="13">
        <f t="shared" si="0"/>
        <v>1</v>
      </c>
      <c r="L7" s="13">
        <f t="shared" si="1"/>
        <v>30</v>
      </c>
      <c r="M7" s="13"/>
      <c r="O7" s="94"/>
      <c r="P7" s="2"/>
      <c r="Q7" s="1" t="s">
        <v>386</v>
      </c>
      <c r="R7" s="1"/>
      <c r="S7" s="1"/>
      <c r="T7" s="1"/>
      <c r="U7" s="1"/>
      <c r="V7" s="1"/>
      <c r="W7" s="13" t="e">
        <f t="shared" si="2"/>
        <v>#DIV/0!</v>
      </c>
      <c r="X7" s="1" t="e">
        <f t="shared" si="3"/>
        <v>#DIV/0!</v>
      </c>
      <c r="Y7" s="1" t="s">
        <v>268</v>
      </c>
      <c r="AB7" s="94"/>
      <c r="AC7" s="6"/>
      <c r="AD7" s="1" t="s">
        <v>243</v>
      </c>
      <c r="AE7" s="1">
        <v>1</v>
      </c>
      <c r="AF7" s="1" t="s">
        <v>244</v>
      </c>
      <c r="AG7" s="1"/>
      <c r="AH7" s="1"/>
      <c r="AI7" s="1"/>
      <c r="AJ7" s="13">
        <f t="shared" si="4"/>
        <v>0</v>
      </c>
      <c r="AK7" s="1">
        <f t="shared" si="5"/>
        <v>0</v>
      </c>
      <c r="AL7" s="1"/>
    </row>
    <row r="8" spans="3:38" x14ac:dyDescent="0.2">
      <c r="C8" s="94"/>
      <c r="D8" s="2" t="s">
        <v>36</v>
      </c>
      <c r="E8" s="7" t="s">
        <v>242</v>
      </c>
      <c r="F8" s="1">
        <v>1</v>
      </c>
      <c r="G8" s="1" t="s">
        <v>29</v>
      </c>
      <c r="H8" s="13">
        <v>50</v>
      </c>
      <c r="I8" s="13">
        <v>1</v>
      </c>
      <c r="J8" s="13"/>
      <c r="K8" s="13">
        <f t="shared" si="0"/>
        <v>1</v>
      </c>
      <c r="L8" s="13">
        <f t="shared" si="1"/>
        <v>50</v>
      </c>
      <c r="M8" s="13"/>
      <c r="O8" s="94"/>
      <c r="P8" s="2"/>
      <c r="Q8" s="1" t="s">
        <v>269</v>
      </c>
      <c r="R8" s="1"/>
      <c r="S8" s="1"/>
      <c r="T8" s="1"/>
      <c r="U8" s="1"/>
      <c r="V8" s="1"/>
      <c r="W8" s="13" t="e">
        <f t="shared" si="2"/>
        <v>#DIV/0!</v>
      </c>
      <c r="X8" s="1" t="e">
        <f t="shared" si="3"/>
        <v>#DIV/0!</v>
      </c>
      <c r="Y8" s="1" t="s">
        <v>271</v>
      </c>
      <c r="AB8" s="94"/>
      <c r="AC8" s="6"/>
      <c r="AD8" s="1" t="s">
        <v>331</v>
      </c>
      <c r="AE8" s="1">
        <v>1</v>
      </c>
      <c r="AF8" s="1" t="s">
        <v>29</v>
      </c>
      <c r="AG8" s="1"/>
      <c r="AH8" s="1"/>
      <c r="AI8" s="1"/>
      <c r="AJ8" s="13">
        <f t="shared" si="4"/>
        <v>0</v>
      </c>
      <c r="AK8" s="1">
        <f t="shared" si="5"/>
        <v>0</v>
      </c>
      <c r="AL8" s="1"/>
    </row>
    <row r="9" spans="3:38" x14ac:dyDescent="0.2">
      <c r="C9" s="94"/>
      <c r="D9" s="2"/>
      <c r="E9" s="1" t="s">
        <v>243</v>
      </c>
      <c r="F9" s="1">
        <v>1</v>
      </c>
      <c r="G9" s="1" t="s">
        <v>244</v>
      </c>
      <c r="H9" s="13"/>
      <c r="I9" s="13">
        <v>1</v>
      </c>
      <c r="J9" s="13"/>
      <c r="K9" s="13">
        <f t="shared" si="0"/>
        <v>1</v>
      </c>
      <c r="L9" s="13">
        <f t="shared" si="1"/>
        <v>0</v>
      </c>
      <c r="M9" s="13"/>
      <c r="O9" s="94"/>
      <c r="P9" s="2"/>
      <c r="Q9" s="1" t="s">
        <v>242</v>
      </c>
      <c r="R9" s="1">
        <v>1</v>
      </c>
      <c r="S9" s="1" t="s">
        <v>29</v>
      </c>
      <c r="T9" s="1">
        <v>50</v>
      </c>
      <c r="U9" s="1">
        <v>2</v>
      </c>
      <c r="V9" s="1"/>
      <c r="W9" s="13">
        <f t="shared" si="2"/>
        <v>2</v>
      </c>
      <c r="X9" s="1">
        <f t="shared" si="3"/>
        <v>100</v>
      </c>
      <c r="Y9" s="1"/>
      <c r="AB9" s="94"/>
      <c r="AC9" s="2"/>
      <c r="AD9" s="1" t="s">
        <v>260</v>
      </c>
      <c r="AE9" s="1">
        <v>1</v>
      </c>
      <c r="AF9" s="1" t="s">
        <v>71</v>
      </c>
      <c r="AG9" s="1">
        <v>65</v>
      </c>
      <c r="AH9" s="1">
        <v>0.5</v>
      </c>
      <c r="AI9" s="1"/>
      <c r="AJ9" s="13">
        <f t="shared" si="4"/>
        <v>0.5</v>
      </c>
      <c r="AK9" s="1">
        <f t="shared" si="5"/>
        <v>32.5</v>
      </c>
      <c r="AL9" s="1"/>
    </row>
    <row r="10" spans="3:38" x14ac:dyDescent="0.2">
      <c r="C10" s="94"/>
      <c r="D10" s="2"/>
      <c r="E10" s="1" t="s">
        <v>245</v>
      </c>
      <c r="F10" s="1"/>
      <c r="G10" s="1"/>
      <c r="H10" s="13"/>
      <c r="I10" s="13"/>
      <c r="J10" s="13"/>
      <c r="K10" s="13" t="e">
        <f t="shared" si="0"/>
        <v>#DIV/0!</v>
      </c>
      <c r="L10" s="13" t="e">
        <f t="shared" si="1"/>
        <v>#DIV/0!</v>
      </c>
      <c r="M10" s="13" t="s">
        <v>268</v>
      </c>
      <c r="O10" s="94"/>
      <c r="P10" s="2"/>
      <c r="Q10" s="1" t="s">
        <v>240</v>
      </c>
      <c r="R10" s="1">
        <v>1</v>
      </c>
      <c r="S10" s="1" t="s">
        <v>241</v>
      </c>
      <c r="T10" s="1">
        <v>30</v>
      </c>
      <c r="U10" s="1">
        <v>1</v>
      </c>
      <c r="V10" s="1"/>
      <c r="W10" s="13">
        <f t="shared" si="2"/>
        <v>1</v>
      </c>
      <c r="X10" s="1">
        <f t="shared" si="3"/>
        <v>30</v>
      </c>
      <c r="Y10" s="1"/>
      <c r="AB10" s="94"/>
      <c r="AC10" s="2"/>
      <c r="AD10" s="1" t="s">
        <v>272</v>
      </c>
      <c r="AE10" s="1">
        <v>1</v>
      </c>
      <c r="AF10" s="1" t="s">
        <v>312</v>
      </c>
      <c r="AG10" s="1">
        <v>128</v>
      </c>
      <c r="AH10" s="1">
        <v>0.5</v>
      </c>
      <c r="AI10" s="1"/>
      <c r="AJ10" s="13">
        <f t="shared" si="4"/>
        <v>0.5</v>
      </c>
      <c r="AK10" s="1">
        <f t="shared" si="5"/>
        <v>64</v>
      </c>
      <c r="AL10" s="1"/>
    </row>
    <row r="11" spans="3:38" x14ac:dyDescent="0.2">
      <c r="C11" s="94"/>
      <c r="D11" s="2"/>
      <c r="E11" s="1" t="s">
        <v>247</v>
      </c>
      <c r="F11" s="1">
        <v>1</v>
      </c>
      <c r="G11" s="1" t="s">
        <v>248</v>
      </c>
      <c r="H11" s="13">
        <v>110</v>
      </c>
      <c r="I11" s="13">
        <v>1</v>
      </c>
      <c r="J11" s="13"/>
      <c r="K11" s="13">
        <f t="shared" si="0"/>
        <v>1</v>
      </c>
      <c r="L11" s="13">
        <f t="shared" si="1"/>
        <v>110</v>
      </c>
      <c r="M11" s="13"/>
      <c r="O11" s="94"/>
      <c r="P11" s="2"/>
      <c r="Q11" s="1" t="s">
        <v>237</v>
      </c>
      <c r="R11" s="1">
        <v>1</v>
      </c>
      <c r="S11" s="1" t="s">
        <v>35</v>
      </c>
      <c r="T11" s="1">
        <v>52</v>
      </c>
      <c r="U11" s="1">
        <v>1</v>
      </c>
      <c r="V11" s="1"/>
      <c r="W11" s="13">
        <f t="shared" si="2"/>
        <v>1</v>
      </c>
      <c r="X11" s="1">
        <f t="shared" si="3"/>
        <v>52</v>
      </c>
      <c r="Y11" s="1"/>
      <c r="AB11" s="94"/>
      <c r="AC11" s="2"/>
      <c r="AD11" s="1" t="s">
        <v>104</v>
      </c>
      <c r="AE11" s="1">
        <v>1</v>
      </c>
      <c r="AF11" s="1" t="s">
        <v>71</v>
      </c>
      <c r="AG11" s="1">
        <v>112</v>
      </c>
      <c r="AH11" s="1">
        <v>0.5</v>
      </c>
      <c r="AI11" s="1"/>
      <c r="AJ11" s="13">
        <f t="shared" si="4"/>
        <v>0.5</v>
      </c>
      <c r="AK11" s="1">
        <f t="shared" si="5"/>
        <v>56</v>
      </c>
      <c r="AL11" s="1"/>
    </row>
    <row r="12" spans="3:38" x14ac:dyDescent="0.2">
      <c r="C12" s="90" t="s">
        <v>44</v>
      </c>
      <c r="D12" s="2"/>
      <c r="E12" s="1" t="s">
        <v>249</v>
      </c>
      <c r="F12" s="1">
        <v>1</v>
      </c>
      <c r="G12" s="1" t="s">
        <v>56</v>
      </c>
      <c r="H12" s="13">
        <v>130</v>
      </c>
      <c r="I12" s="13">
        <v>1</v>
      </c>
      <c r="J12" s="13"/>
      <c r="K12" s="13">
        <f t="shared" si="0"/>
        <v>1</v>
      </c>
      <c r="L12" s="13">
        <f t="shared" si="1"/>
        <v>130</v>
      </c>
      <c r="M12" s="13"/>
      <c r="O12" s="94"/>
      <c r="P12" s="2"/>
      <c r="Q12" s="1" t="s">
        <v>272</v>
      </c>
      <c r="R12" s="1">
        <v>1</v>
      </c>
      <c r="S12" s="1" t="s">
        <v>273</v>
      </c>
      <c r="T12" s="1">
        <v>128</v>
      </c>
      <c r="U12" s="1">
        <v>1</v>
      </c>
      <c r="V12" s="1"/>
      <c r="W12" s="13">
        <f t="shared" si="2"/>
        <v>1</v>
      </c>
      <c r="X12" s="1">
        <f t="shared" si="3"/>
        <v>128</v>
      </c>
      <c r="Y12" s="1"/>
      <c r="AB12" s="95"/>
      <c r="AC12" s="2"/>
      <c r="AD12" s="1" t="s">
        <v>275</v>
      </c>
      <c r="AE12" s="1">
        <v>1</v>
      </c>
      <c r="AF12" s="1" t="s">
        <v>262</v>
      </c>
      <c r="AG12" s="1"/>
      <c r="AH12" s="1"/>
      <c r="AI12" s="1"/>
      <c r="AJ12" s="13">
        <f t="shared" si="4"/>
        <v>0</v>
      </c>
      <c r="AK12" s="1">
        <f t="shared" si="5"/>
        <v>0</v>
      </c>
      <c r="AL12" s="1"/>
    </row>
    <row r="13" spans="3:38" x14ac:dyDescent="0.2">
      <c r="C13" s="91"/>
      <c r="D13" s="2"/>
      <c r="E13" s="1" t="s">
        <v>62</v>
      </c>
      <c r="F13" s="1">
        <v>0.125</v>
      </c>
      <c r="G13" s="1" t="s">
        <v>53</v>
      </c>
      <c r="H13" s="13">
        <v>30</v>
      </c>
      <c r="I13" s="13">
        <v>2</v>
      </c>
      <c r="J13" s="13"/>
      <c r="K13" s="13">
        <f t="shared" si="0"/>
        <v>2</v>
      </c>
      <c r="L13" s="13">
        <f t="shared" si="1"/>
        <v>60</v>
      </c>
      <c r="M13" s="13"/>
      <c r="O13" s="94"/>
      <c r="P13" s="2"/>
      <c r="Q13" s="1" t="s">
        <v>62</v>
      </c>
      <c r="R13" s="1">
        <v>0.125</v>
      </c>
      <c r="S13" s="1" t="s">
        <v>53</v>
      </c>
      <c r="T13" s="1">
        <v>30</v>
      </c>
      <c r="U13" s="1">
        <v>2</v>
      </c>
      <c r="V13" s="1"/>
      <c r="W13" s="13">
        <f t="shared" si="2"/>
        <v>2</v>
      </c>
      <c r="X13" s="1">
        <f t="shared" si="3"/>
        <v>60</v>
      </c>
      <c r="Y13" s="1"/>
      <c r="AB13" s="93" t="s">
        <v>44</v>
      </c>
      <c r="AC13" s="2"/>
      <c r="AD13" s="1" t="s">
        <v>313</v>
      </c>
      <c r="AE13" s="1"/>
      <c r="AF13" s="1"/>
      <c r="AG13" s="1"/>
      <c r="AH13" s="1"/>
      <c r="AI13" s="1"/>
      <c r="AJ13" s="13" t="e">
        <f t="shared" si="4"/>
        <v>#DIV/0!</v>
      </c>
      <c r="AK13" s="1" t="e">
        <f t="shared" si="5"/>
        <v>#DIV/0!</v>
      </c>
      <c r="AL13" s="1" t="s">
        <v>387</v>
      </c>
    </row>
    <row r="14" spans="3:38" x14ac:dyDescent="0.2">
      <c r="C14" s="91"/>
      <c r="D14" s="2"/>
      <c r="E14" s="1" t="s">
        <v>250</v>
      </c>
      <c r="F14" s="1">
        <v>1</v>
      </c>
      <c r="G14" s="1" t="s">
        <v>251</v>
      </c>
      <c r="H14" s="13">
        <v>89</v>
      </c>
      <c r="I14" s="13">
        <v>1</v>
      </c>
      <c r="J14" s="13"/>
      <c r="K14" s="13">
        <f t="shared" si="0"/>
        <v>1</v>
      </c>
      <c r="L14" s="13">
        <f t="shared" si="1"/>
        <v>89</v>
      </c>
      <c r="M14" s="13"/>
      <c r="O14" s="94"/>
      <c r="P14" s="2"/>
      <c r="Q14" s="1" t="s">
        <v>274</v>
      </c>
      <c r="R14" s="1">
        <v>1</v>
      </c>
      <c r="S14" s="1" t="s">
        <v>239</v>
      </c>
      <c r="T14" s="1">
        <v>300</v>
      </c>
      <c r="U14" s="1">
        <v>1</v>
      </c>
      <c r="V14" s="1"/>
      <c r="W14" s="13">
        <f t="shared" si="2"/>
        <v>1</v>
      </c>
      <c r="X14" s="1">
        <f t="shared" si="3"/>
        <v>300</v>
      </c>
      <c r="Y14" s="1"/>
      <c r="AB14" s="94"/>
      <c r="AC14" s="2"/>
      <c r="AD14" s="1" t="s">
        <v>286</v>
      </c>
      <c r="AE14" s="1">
        <v>1</v>
      </c>
      <c r="AF14" s="1" t="s">
        <v>53</v>
      </c>
      <c r="AG14" s="1">
        <v>83</v>
      </c>
      <c r="AH14" s="1">
        <v>2</v>
      </c>
      <c r="AI14" s="1"/>
      <c r="AJ14" s="13">
        <f t="shared" si="4"/>
        <v>2</v>
      </c>
      <c r="AK14" s="1">
        <f t="shared" si="5"/>
        <v>166</v>
      </c>
      <c r="AL14" s="1"/>
    </row>
    <row r="15" spans="3:38" x14ac:dyDescent="0.2">
      <c r="C15" s="91"/>
      <c r="D15" s="2"/>
      <c r="E15" s="1" t="s">
        <v>57</v>
      </c>
      <c r="F15" s="1"/>
      <c r="G15" s="1" t="s">
        <v>59</v>
      </c>
      <c r="H15" s="13"/>
      <c r="I15" s="13">
        <v>1</v>
      </c>
      <c r="J15" s="13"/>
      <c r="K15" s="13">
        <f t="shared" si="0"/>
        <v>1</v>
      </c>
      <c r="L15" s="13">
        <f t="shared" si="1"/>
        <v>0</v>
      </c>
      <c r="M15" s="13"/>
      <c r="O15" s="95"/>
      <c r="P15" s="2"/>
      <c r="Q15" s="17" t="s">
        <v>388</v>
      </c>
      <c r="R15" s="1">
        <v>1</v>
      </c>
      <c r="S15" s="1" t="s">
        <v>263</v>
      </c>
      <c r="T15" s="1">
        <v>350</v>
      </c>
      <c r="U15" s="1">
        <v>1</v>
      </c>
      <c r="V15" s="1"/>
      <c r="W15" s="13">
        <f t="shared" si="2"/>
        <v>1</v>
      </c>
      <c r="X15" s="1">
        <f t="shared" si="3"/>
        <v>350</v>
      </c>
      <c r="Y15" s="1"/>
      <c r="AB15" s="94"/>
      <c r="AC15" s="2"/>
      <c r="AD15" s="1" t="s">
        <v>62</v>
      </c>
      <c r="AE15" s="1">
        <v>0.125</v>
      </c>
      <c r="AF15" s="1" t="s">
        <v>53</v>
      </c>
      <c r="AG15" s="1">
        <v>30</v>
      </c>
      <c r="AH15" s="1">
        <v>1</v>
      </c>
      <c r="AI15" s="1"/>
      <c r="AJ15" s="13">
        <f t="shared" si="4"/>
        <v>1</v>
      </c>
      <c r="AK15" s="1">
        <f t="shared" si="5"/>
        <v>30</v>
      </c>
      <c r="AL15" s="1"/>
    </row>
    <row r="16" spans="3:38" x14ac:dyDescent="0.2">
      <c r="C16" s="91"/>
      <c r="D16" s="2"/>
      <c r="E16" s="1" t="s">
        <v>70</v>
      </c>
      <c r="F16" s="1">
        <v>1</v>
      </c>
      <c r="G16" s="1" t="s">
        <v>71</v>
      </c>
      <c r="H16" s="13">
        <v>132</v>
      </c>
      <c r="I16" s="13">
        <v>1</v>
      </c>
      <c r="J16" s="13"/>
      <c r="K16" s="13">
        <f t="shared" si="0"/>
        <v>1</v>
      </c>
      <c r="L16" s="13">
        <f t="shared" si="1"/>
        <v>132</v>
      </c>
      <c r="M16" s="13"/>
      <c r="O16" s="93" t="s">
        <v>44</v>
      </c>
      <c r="P16" s="2"/>
      <c r="Q16" s="1" t="s">
        <v>120</v>
      </c>
      <c r="R16" s="1">
        <v>9</v>
      </c>
      <c r="S16" s="1" t="s">
        <v>20</v>
      </c>
      <c r="T16" s="1">
        <v>161</v>
      </c>
      <c r="U16" s="1">
        <v>0.5</v>
      </c>
      <c r="V16" s="1"/>
      <c r="W16" s="13">
        <f t="shared" si="2"/>
        <v>0.5</v>
      </c>
      <c r="X16" s="1">
        <f t="shared" si="3"/>
        <v>80.5</v>
      </c>
      <c r="Y16" s="1"/>
      <c r="AB16" s="94"/>
      <c r="AC16" s="2"/>
      <c r="AD16" s="1" t="s">
        <v>315</v>
      </c>
      <c r="AE16" s="1"/>
      <c r="AF16" s="1"/>
      <c r="AG16" s="1"/>
      <c r="AH16" s="1"/>
      <c r="AI16" s="1"/>
      <c r="AJ16" s="13" t="e">
        <f t="shared" si="4"/>
        <v>#DIV/0!</v>
      </c>
      <c r="AK16" s="1" t="e">
        <f t="shared" si="5"/>
        <v>#DIV/0!</v>
      </c>
      <c r="AL16" s="1" t="s">
        <v>308</v>
      </c>
    </row>
    <row r="17" spans="3:38" x14ac:dyDescent="0.2">
      <c r="C17" s="91"/>
      <c r="D17" s="2"/>
      <c r="E17" s="1" t="s">
        <v>67</v>
      </c>
      <c r="F17" s="1">
        <v>0.5</v>
      </c>
      <c r="G17" s="1" t="s">
        <v>230</v>
      </c>
      <c r="H17" s="13">
        <v>58</v>
      </c>
      <c r="I17" s="13">
        <v>1</v>
      </c>
      <c r="J17" s="13"/>
      <c r="K17" s="13">
        <f t="shared" si="0"/>
        <v>1</v>
      </c>
      <c r="L17" s="13">
        <f t="shared" si="1"/>
        <v>58</v>
      </c>
      <c r="M17" s="13"/>
      <c r="O17" s="94"/>
      <c r="P17" s="2"/>
      <c r="Q17" s="1" t="s">
        <v>276</v>
      </c>
      <c r="R17" s="1">
        <v>1</v>
      </c>
      <c r="S17" s="1" t="s">
        <v>251</v>
      </c>
      <c r="T17" s="1">
        <v>150</v>
      </c>
      <c r="U17" s="1">
        <v>0.5</v>
      </c>
      <c r="V17" s="1"/>
      <c r="W17" s="13">
        <f t="shared" si="2"/>
        <v>0.5</v>
      </c>
      <c r="X17" s="1">
        <f t="shared" si="3"/>
        <v>75</v>
      </c>
      <c r="Y17" s="1"/>
      <c r="AB17" s="94"/>
      <c r="AC17" s="2"/>
      <c r="AD17" s="1" t="s">
        <v>317</v>
      </c>
      <c r="AE17" s="1">
        <v>1</v>
      </c>
      <c r="AF17" s="1" t="s">
        <v>262</v>
      </c>
      <c r="AG17" s="1"/>
      <c r="AH17" s="1"/>
      <c r="AI17" s="1"/>
      <c r="AJ17" s="13">
        <f t="shared" si="4"/>
        <v>0</v>
      </c>
      <c r="AK17" s="1">
        <f t="shared" si="5"/>
        <v>0</v>
      </c>
      <c r="AL17" s="1"/>
    </row>
    <row r="18" spans="3:38" x14ac:dyDescent="0.2">
      <c r="C18" s="91"/>
      <c r="D18" s="2"/>
      <c r="E18" s="1" t="s">
        <v>252</v>
      </c>
      <c r="F18" s="1">
        <v>0.25</v>
      </c>
      <c r="G18" s="1" t="s">
        <v>53</v>
      </c>
      <c r="H18" s="13">
        <v>66</v>
      </c>
      <c r="I18" s="13">
        <v>1</v>
      </c>
      <c r="J18" s="13"/>
      <c r="K18" s="13">
        <f t="shared" si="0"/>
        <v>1</v>
      </c>
      <c r="L18" s="13">
        <f t="shared" si="1"/>
        <v>66</v>
      </c>
      <c r="M18" s="13" t="s">
        <v>253</v>
      </c>
      <c r="O18" s="94"/>
      <c r="P18" s="2"/>
      <c r="Q18" s="1" t="s">
        <v>389</v>
      </c>
      <c r="R18" s="1"/>
      <c r="S18" s="1"/>
      <c r="T18" s="1"/>
      <c r="U18" s="1"/>
      <c r="V18" s="1"/>
      <c r="W18" s="13" t="e">
        <f t="shared" si="2"/>
        <v>#DIV/0!</v>
      </c>
      <c r="X18" s="1" t="e">
        <f t="shared" si="3"/>
        <v>#DIV/0!</v>
      </c>
      <c r="Y18" s="1" t="s">
        <v>279</v>
      </c>
      <c r="AB18" s="94"/>
      <c r="AC18" s="2"/>
      <c r="AD18" s="1" t="s">
        <v>350</v>
      </c>
      <c r="AE18" s="1">
        <v>1</v>
      </c>
      <c r="AF18" s="1" t="s">
        <v>59</v>
      </c>
      <c r="AG18" s="1"/>
      <c r="AH18" s="1"/>
      <c r="AI18" s="1"/>
      <c r="AJ18" s="13">
        <f t="shared" si="4"/>
        <v>0</v>
      </c>
      <c r="AK18" s="1">
        <f t="shared" si="5"/>
        <v>0</v>
      </c>
      <c r="AL18" s="1"/>
    </row>
    <row r="19" spans="3:38" ht="51" x14ac:dyDescent="0.2">
      <c r="C19" s="91"/>
      <c r="D19" s="2"/>
      <c r="E19" s="1" t="s">
        <v>47</v>
      </c>
      <c r="F19" s="1">
        <v>6</v>
      </c>
      <c r="G19" s="1" t="s">
        <v>254</v>
      </c>
      <c r="H19" s="13">
        <v>80</v>
      </c>
      <c r="I19" s="13">
        <v>1</v>
      </c>
      <c r="J19" s="13"/>
      <c r="K19" s="13">
        <f t="shared" si="0"/>
        <v>1</v>
      </c>
      <c r="L19" s="13">
        <f t="shared" si="1"/>
        <v>80</v>
      </c>
      <c r="M19" s="13"/>
      <c r="O19" s="94"/>
      <c r="P19" s="2"/>
      <c r="Q19" s="1" t="s">
        <v>350</v>
      </c>
      <c r="R19" s="16"/>
      <c r="S19" s="1"/>
      <c r="T19" s="1"/>
      <c r="U19" s="1"/>
      <c r="V19" s="1"/>
      <c r="W19" s="13" t="e">
        <f t="shared" si="2"/>
        <v>#DIV/0!</v>
      </c>
      <c r="X19" s="1" t="e">
        <f t="shared" si="3"/>
        <v>#DIV/0!</v>
      </c>
      <c r="Y19" s="1" t="s">
        <v>59</v>
      </c>
      <c r="AB19" s="119" t="s">
        <v>74</v>
      </c>
      <c r="AC19" s="2"/>
      <c r="AD19" s="1" t="s">
        <v>319</v>
      </c>
      <c r="AE19" s="1"/>
      <c r="AF19" s="1"/>
      <c r="AG19" s="1"/>
      <c r="AH19" s="1"/>
      <c r="AI19" s="1"/>
      <c r="AJ19" s="13" t="e">
        <f t="shared" si="4"/>
        <v>#DIV/0!</v>
      </c>
      <c r="AK19" s="1" t="e">
        <f t="shared" si="5"/>
        <v>#DIV/0!</v>
      </c>
      <c r="AL19" s="20" t="s">
        <v>321</v>
      </c>
    </row>
    <row r="20" spans="3:38" x14ac:dyDescent="0.2">
      <c r="C20" s="91"/>
      <c r="D20" s="2"/>
      <c r="E20" s="1" t="s">
        <v>255</v>
      </c>
      <c r="F20" s="1">
        <f>1/4</f>
        <v>0.25</v>
      </c>
      <c r="G20" s="1" t="s">
        <v>35</v>
      </c>
      <c r="H20" s="13">
        <v>80</v>
      </c>
      <c r="I20" s="13">
        <v>1</v>
      </c>
      <c r="J20" s="13"/>
      <c r="K20" s="13">
        <f t="shared" si="0"/>
        <v>1</v>
      </c>
      <c r="L20" s="13">
        <f t="shared" si="1"/>
        <v>80</v>
      </c>
      <c r="M20" s="13"/>
      <c r="O20" s="94"/>
      <c r="P20" s="2"/>
      <c r="Q20" s="1" t="s">
        <v>47</v>
      </c>
      <c r="R20" s="1">
        <v>6</v>
      </c>
      <c r="S20" s="1" t="s">
        <v>254</v>
      </c>
      <c r="T20" s="1">
        <v>80</v>
      </c>
      <c r="U20" s="1">
        <v>1</v>
      </c>
      <c r="V20" s="1"/>
      <c r="W20" s="13">
        <f t="shared" si="2"/>
        <v>1</v>
      </c>
      <c r="X20" s="1">
        <f t="shared" si="3"/>
        <v>80</v>
      </c>
      <c r="Y20" s="1"/>
      <c r="AB20" s="119"/>
      <c r="AC20" s="2"/>
      <c r="AD20" s="1" t="s">
        <v>350</v>
      </c>
      <c r="AE20" s="1">
        <v>1</v>
      </c>
      <c r="AF20" s="1" t="s">
        <v>59</v>
      </c>
      <c r="AG20" s="1"/>
      <c r="AH20" s="1"/>
      <c r="AI20" s="1"/>
      <c r="AJ20" s="13">
        <f t="shared" si="4"/>
        <v>0</v>
      </c>
      <c r="AK20" s="1">
        <f t="shared" si="5"/>
        <v>0</v>
      </c>
      <c r="AL20" s="1"/>
    </row>
    <row r="21" spans="3:38" x14ac:dyDescent="0.2">
      <c r="C21" s="92"/>
      <c r="D21" s="2"/>
      <c r="E21" s="1" t="s">
        <v>390</v>
      </c>
      <c r="F21" s="1"/>
      <c r="G21" s="1"/>
      <c r="H21" s="13">
        <v>200</v>
      </c>
      <c r="I21" s="13">
        <v>1</v>
      </c>
      <c r="J21" s="13"/>
      <c r="K21" s="13">
        <f t="shared" si="0"/>
        <v>1</v>
      </c>
      <c r="L21" s="13">
        <f t="shared" si="1"/>
        <v>200</v>
      </c>
      <c r="M21" s="13" t="s">
        <v>257</v>
      </c>
      <c r="O21" s="94"/>
      <c r="P21" s="2"/>
      <c r="Q21" s="1" t="s">
        <v>258</v>
      </c>
      <c r="R21" s="1">
        <v>1</v>
      </c>
      <c r="S21" s="1" t="s">
        <v>29</v>
      </c>
      <c r="T21" s="1">
        <v>100</v>
      </c>
      <c r="U21" s="1">
        <v>1.2</v>
      </c>
      <c r="V21" s="1"/>
      <c r="W21" s="13">
        <f t="shared" si="2"/>
        <v>1.2</v>
      </c>
      <c r="X21" s="1">
        <f t="shared" si="3"/>
        <v>120</v>
      </c>
      <c r="Y21" s="1"/>
      <c r="AB21" s="119"/>
      <c r="AC21" s="2"/>
      <c r="AD21" s="1" t="s">
        <v>322</v>
      </c>
      <c r="AE21" s="1">
        <v>1</v>
      </c>
      <c r="AF21" s="1" t="s">
        <v>251</v>
      </c>
      <c r="AG21" s="1">
        <v>89</v>
      </c>
      <c r="AH21" s="1">
        <v>0.5</v>
      </c>
      <c r="AI21" s="1"/>
      <c r="AJ21" s="13">
        <f t="shared" si="4"/>
        <v>0.5</v>
      </c>
      <c r="AK21" s="1">
        <f t="shared" si="5"/>
        <v>44.5</v>
      </c>
      <c r="AL21" s="1"/>
    </row>
    <row r="22" spans="3:38" x14ac:dyDescent="0.2">
      <c r="C22" s="90" t="s">
        <v>74</v>
      </c>
      <c r="D22" s="2"/>
      <c r="E22" s="1" t="s">
        <v>237</v>
      </c>
      <c r="F22" s="1">
        <v>1</v>
      </c>
      <c r="G22" s="1" t="s">
        <v>35</v>
      </c>
      <c r="H22" s="13">
        <v>52</v>
      </c>
      <c r="I22" s="13">
        <v>0.5</v>
      </c>
      <c r="J22" s="13"/>
      <c r="K22" s="13">
        <f t="shared" si="0"/>
        <v>0.5</v>
      </c>
      <c r="L22" s="13">
        <f t="shared" si="1"/>
        <v>26</v>
      </c>
      <c r="M22" s="13"/>
      <c r="O22" s="94"/>
      <c r="P22" s="2"/>
      <c r="Q22" s="1" t="s">
        <v>62</v>
      </c>
      <c r="R22" s="1">
        <v>0.125</v>
      </c>
      <c r="S22" s="1" t="s">
        <v>53</v>
      </c>
      <c r="T22" s="1">
        <v>30</v>
      </c>
      <c r="U22" s="1">
        <v>2</v>
      </c>
      <c r="V22" s="1"/>
      <c r="W22" s="13">
        <f t="shared" si="2"/>
        <v>2</v>
      </c>
      <c r="X22" s="1">
        <f t="shared" si="3"/>
        <v>60</v>
      </c>
      <c r="Y22" s="1"/>
      <c r="AB22" s="119"/>
      <c r="AC22" s="2"/>
      <c r="AD22" s="1" t="s">
        <v>62</v>
      </c>
      <c r="AE22" s="1">
        <v>0.125</v>
      </c>
      <c r="AF22" s="1" t="s">
        <v>53</v>
      </c>
      <c r="AG22" s="1">
        <v>30</v>
      </c>
      <c r="AH22" s="1">
        <v>1</v>
      </c>
      <c r="AI22" s="1"/>
      <c r="AJ22" s="13">
        <f t="shared" si="4"/>
        <v>1</v>
      </c>
      <c r="AK22" s="1">
        <f t="shared" si="5"/>
        <v>30</v>
      </c>
      <c r="AL22" s="1"/>
    </row>
    <row r="23" spans="3:38" ht="34" x14ac:dyDescent="0.2">
      <c r="C23" s="91"/>
      <c r="D23" s="2"/>
      <c r="E23" s="1" t="s">
        <v>258</v>
      </c>
      <c r="F23" s="1">
        <v>1</v>
      </c>
      <c r="G23" s="1" t="s">
        <v>259</v>
      </c>
      <c r="H23" s="13">
        <v>100</v>
      </c>
      <c r="I23" s="13">
        <v>1.2</v>
      </c>
      <c r="J23" s="13"/>
      <c r="K23" s="13">
        <f t="shared" si="0"/>
        <v>1.2</v>
      </c>
      <c r="L23" s="13">
        <f t="shared" si="1"/>
        <v>120</v>
      </c>
      <c r="M23" s="13"/>
      <c r="O23" s="94"/>
      <c r="P23" s="2"/>
      <c r="Q23" s="1" t="s">
        <v>280</v>
      </c>
      <c r="R23" s="1"/>
      <c r="S23" s="1"/>
      <c r="T23" s="1"/>
      <c r="U23" s="1"/>
      <c r="V23" s="1"/>
      <c r="W23" s="13" t="e">
        <f t="shared" si="2"/>
        <v>#DIV/0!</v>
      </c>
      <c r="X23" s="1" t="e">
        <f t="shared" si="3"/>
        <v>#DIV/0!</v>
      </c>
      <c r="Y23" s="1" t="s">
        <v>282</v>
      </c>
      <c r="AB23" s="5" t="s">
        <v>236</v>
      </c>
      <c r="AC23" s="2"/>
      <c r="AD23" s="1" t="s">
        <v>323</v>
      </c>
      <c r="AE23" s="1">
        <v>1</v>
      </c>
      <c r="AF23" s="1"/>
      <c r="AG23" s="1"/>
      <c r="AH23" s="1"/>
      <c r="AI23" s="1"/>
      <c r="AJ23" s="13">
        <f t="shared" si="4"/>
        <v>0</v>
      </c>
      <c r="AK23" s="1">
        <f t="shared" si="5"/>
        <v>0</v>
      </c>
      <c r="AL23" s="1" t="s">
        <v>391</v>
      </c>
    </row>
    <row r="24" spans="3:38" x14ac:dyDescent="0.2">
      <c r="C24" s="92"/>
      <c r="D24" s="2"/>
      <c r="E24" s="8" t="s">
        <v>238</v>
      </c>
      <c r="F24" s="1">
        <v>1</v>
      </c>
      <c r="G24" s="1" t="s">
        <v>251</v>
      </c>
      <c r="H24" s="13">
        <v>150</v>
      </c>
      <c r="I24" s="13">
        <v>1</v>
      </c>
      <c r="J24" s="13"/>
      <c r="K24" s="13">
        <f t="shared" si="0"/>
        <v>1</v>
      </c>
      <c r="L24" s="13">
        <f t="shared" si="1"/>
        <v>150</v>
      </c>
      <c r="M24" s="13"/>
      <c r="O24" s="94"/>
      <c r="P24" s="2"/>
      <c r="Q24" s="1" t="s">
        <v>283</v>
      </c>
      <c r="R24" s="1"/>
      <c r="S24" s="1"/>
      <c r="T24" s="1"/>
      <c r="U24" s="1"/>
      <c r="V24" s="1"/>
      <c r="W24" s="13" t="e">
        <f t="shared" si="2"/>
        <v>#DIV/0!</v>
      </c>
      <c r="X24" s="1" t="e">
        <f t="shared" si="3"/>
        <v>#DIV/0!</v>
      </c>
      <c r="Y24" s="1" t="s">
        <v>282</v>
      </c>
    </row>
    <row r="25" spans="3:38" ht="16" customHeight="1" x14ac:dyDescent="0.2">
      <c r="C25" s="120" t="s">
        <v>224</v>
      </c>
      <c r="D25" s="2"/>
      <c r="E25" s="1" t="s">
        <v>260</v>
      </c>
      <c r="F25" s="1">
        <v>1</v>
      </c>
      <c r="G25" s="1" t="s">
        <v>71</v>
      </c>
      <c r="H25" s="13">
        <v>65</v>
      </c>
      <c r="I25" s="13">
        <v>2</v>
      </c>
      <c r="J25" s="13"/>
      <c r="K25" s="13">
        <f t="shared" si="0"/>
        <v>2</v>
      </c>
      <c r="L25" s="13">
        <f t="shared" si="1"/>
        <v>130</v>
      </c>
      <c r="M25" s="13"/>
      <c r="O25" s="94"/>
      <c r="P25" s="2"/>
      <c r="Q25" s="1" t="s">
        <v>284</v>
      </c>
      <c r="R25" s="1"/>
      <c r="S25" s="1"/>
      <c r="T25" s="1"/>
      <c r="U25" s="1"/>
      <c r="V25" s="1"/>
      <c r="W25" s="13" t="e">
        <f t="shared" si="2"/>
        <v>#DIV/0!</v>
      </c>
      <c r="X25" s="1" t="e">
        <f t="shared" si="3"/>
        <v>#DIV/0!</v>
      </c>
      <c r="Y25" s="1" t="s">
        <v>282</v>
      </c>
    </row>
    <row r="26" spans="3:38" ht="29" customHeight="1" x14ac:dyDescent="0.2">
      <c r="C26" s="120"/>
      <c r="D26" s="2"/>
      <c r="E26" s="1" t="s">
        <v>119</v>
      </c>
      <c r="F26" s="1">
        <v>1</v>
      </c>
      <c r="G26" s="1" t="s">
        <v>71</v>
      </c>
      <c r="H26" s="13">
        <v>112</v>
      </c>
      <c r="I26" s="13">
        <v>1</v>
      </c>
      <c r="J26" s="13"/>
      <c r="K26" s="13">
        <f t="shared" si="0"/>
        <v>1</v>
      </c>
      <c r="L26" s="13">
        <f t="shared" si="1"/>
        <v>112</v>
      </c>
      <c r="M26" s="13"/>
      <c r="O26" s="94"/>
      <c r="P26" s="2"/>
      <c r="Q26" s="1" t="s">
        <v>286</v>
      </c>
      <c r="R26" s="1">
        <v>1</v>
      </c>
      <c r="S26" s="1" t="s">
        <v>53</v>
      </c>
      <c r="T26" s="1">
        <v>85</v>
      </c>
      <c r="U26" s="1">
        <v>1</v>
      </c>
      <c r="V26" s="1"/>
      <c r="W26" s="13">
        <f t="shared" si="2"/>
        <v>1</v>
      </c>
      <c r="X26" s="1">
        <f t="shared" si="3"/>
        <v>85</v>
      </c>
      <c r="Y26" s="1"/>
    </row>
    <row r="27" spans="3:38" x14ac:dyDescent="0.2">
      <c r="C27" s="19" t="s">
        <v>97</v>
      </c>
      <c r="D27" s="2"/>
      <c r="E27" s="1" t="s">
        <v>392</v>
      </c>
      <c r="F27" s="1"/>
      <c r="G27" s="1"/>
      <c r="H27" s="13"/>
      <c r="I27" s="13">
        <v>1</v>
      </c>
      <c r="J27" s="13"/>
      <c r="K27" s="13">
        <f t="shared" si="0"/>
        <v>1</v>
      </c>
      <c r="L27" s="13">
        <f t="shared" si="1"/>
        <v>0</v>
      </c>
      <c r="M27" s="13" t="s">
        <v>263</v>
      </c>
      <c r="O27" s="94"/>
      <c r="P27" s="2"/>
      <c r="Q27" s="1" t="s">
        <v>287</v>
      </c>
      <c r="R27" s="1"/>
      <c r="S27" s="1"/>
      <c r="T27" s="1"/>
      <c r="U27" s="1"/>
      <c r="V27" s="1"/>
      <c r="W27" s="13" t="e">
        <f t="shared" si="2"/>
        <v>#DIV/0!</v>
      </c>
      <c r="X27" s="1" t="e">
        <f t="shared" si="3"/>
        <v>#DIV/0!</v>
      </c>
      <c r="Y27" s="1" t="s">
        <v>268</v>
      </c>
    </row>
    <row r="28" spans="3:38" x14ac:dyDescent="0.2">
      <c r="C28" s="6" t="s">
        <v>264</v>
      </c>
      <c r="D28" s="2"/>
      <c r="E28" s="1" t="s">
        <v>265</v>
      </c>
      <c r="F28" s="1"/>
      <c r="G28" s="1"/>
      <c r="H28" s="13"/>
      <c r="I28" s="13"/>
      <c r="J28" s="13"/>
      <c r="K28" s="13" t="e">
        <f t="shared" si="0"/>
        <v>#DIV/0!</v>
      </c>
      <c r="L28" s="13" t="e">
        <f t="shared" si="1"/>
        <v>#DIV/0!</v>
      </c>
      <c r="M28" s="13" t="s">
        <v>266</v>
      </c>
      <c r="O28" s="94"/>
      <c r="P28" s="2"/>
      <c r="Q28" s="1" t="s">
        <v>288</v>
      </c>
      <c r="R28" s="1"/>
      <c r="S28" s="1"/>
      <c r="T28" s="1"/>
      <c r="U28" s="1">
        <v>1</v>
      </c>
      <c r="V28" s="1"/>
      <c r="W28" s="13">
        <f t="shared" si="2"/>
        <v>1</v>
      </c>
      <c r="X28" s="1">
        <f t="shared" si="3"/>
        <v>0</v>
      </c>
      <c r="Y28" s="1"/>
    </row>
    <row r="29" spans="3:38" x14ac:dyDescent="0.2">
      <c r="H29"/>
      <c r="I29"/>
      <c r="J29"/>
      <c r="K29"/>
      <c r="L29"/>
      <c r="M29"/>
      <c r="O29" s="94"/>
      <c r="P29" s="2"/>
      <c r="Q29" s="1" t="s">
        <v>67</v>
      </c>
      <c r="R29" s="18">
        <v>0.5</v>
      </c>
      <c r="S29" s="1" t="s">
        <v>230</v>
      </c>
      <c r="T29" s="1">
        <v>58</v>
      </c>
      <c r="U29" s="1">
        <v>1</v>
      </c>
      <c r="V29" s="1"/>
      <c r="W29" s="13">
        <f t="shared" si="2"/>
        <v>1</v>
      </c>
      <c r="X29" s="1">
        <f t="shared" si="3"/>
        <v>58</v>
      </c>
      <c r="Y29" s="1"/>
    </row>
    <row r="30" spans="3:38" ht="16" customHeight="1" x14ac:dyDescent="0.2">
      <c r="H30"/>
      <c r="I30"/>
      <c r="J30"/>
      <c r="K30"/>
      <c r="L30"/>
      <c r="M30"/>
      <c r="O30" s="95"/>
      <c r="P30" s="2"/>
      <c r="Q30" s="1" t="s">
        <v>290</v>
      </c>
      <c r="R30" s="1">
        <v>1</v>
      </c>
      <c r="S30" s="1" t="s">
        <v>35</v>
      </c>
      <c r="T30" s="1">
        <v>112</v>
      </c>
      <c r="U30" s="1">
        <v>1</v>
      </c>
      <c r="V30" s="1"/>
      <c r="W30" s="13">
        <f t="shared" si="2"/>
        <v>1</v>
      </c>
      <c r="X30" s="1">
        <f t="shared" si="3"/>
        <v>112</v>
      </c>
      <c r="Y30" s="1"/>
    </row>
    <row r="31" spans="3:38" x14ac:dyDescent="0.2">
      <c r="H31"/>
      <c r="I31"/>
      <c r="J31"/>
      <c r="K31"/>
      <c r="L31"/>
      <c r="M31"/>
      <c r="O31" s="93" t="s">
        <v>74</v>
      </c>
      <c r="P31" s="2"/>
      <c r="Q31" s="1" t="s">
        <v>393</v>
      </c>
      <c r="R31" s="1">
        <v>1</v>
      </c>
      <c r="S31" s="1" t="s">
        <v>239</v>
      </c>
      <c r="T31" s="13"/>
      <c r="U31" s="13"/>
      <c r="V31" s="13"/>
      <c r="W31" s="13">
        <f t="shared" si="2"/>
        <v>0</v>
      </c>
      <c r="X31" s="1">
        <f t="shared" si="3"/>
        <v>0</v>
      </c>
      <c r="Y31" s="13"/>
    </row>
    <row r="32" spans="3:38" x14ac:dyDescent="0.2">
      <c r="H32"/>
      <c r="I32"/>
      <c r="J32"/>
      <c r="K32"/>
      <c r="L32"/>
      <c r="M32"/>
      <c r="O32" s="94"/>
      <c r="P32" s="2"/>
      <c r="Q32" s="1" t="s">
        <v>70</v>
      </c>
      <c r="R32" s="1">
        <v>1</v>
      </c>
      <c r="S32" s="1" t="s">
        <v>71</v>
      </c>
      <c r="T32" s="13">
        <v>132</v>
      </c>
      <c r="U32" s="13"/>
      <c r="V32" s="13"/>
      <c r="W32" s="13">
        <f t="shared" si="2"/>
        <v>0</v>
      </c>
      <c r="X32" s="1">
        <f t="shared" si="3"/>
        <v>0</v>
      </c>
      <c r="Y32" s="13"/>
    </row>
    <row r="33" spans="8:25" x14ac:dyDescent="0.2">
      <c r="H33"/>
      <c r="I33"/>
      <c r="J33"/>
      <c r="K33"/>
      <c r="L33"/>
      <c r="M33"/>
      <c r="O33" s="94"/>
      <c r="P33" s="2"/>
      <c r="Q33" s="1" t="s">
        <v>294</v>
      </c>
      <c r="R33" s="1"/>
      <c r="S33" s="1"/>
      <c r="T33" s="13"/>
      <c r="U33" s="13"/>
      <c r="V33" s="13"/>
      <c r="W33" s="13" t="e">
        <f t="shared" si="2"/>
        <v>#DIV/0!</v>
      </c>
      <c r="X33" s="1" t="e">
        <f t="shared" si="3"/>
        <v>#DIV/0!</v>
      </c>
      <c r="Y33" s="13" t="s">
        <v>295</v>
      </c>
    </row>
    <row r="34" spans="8:25" x14ac:dyDescent="0.2">
      <c r="H34"/>
      <c r="I34"/>
      <c r="J34"/>
      <c r="K34"/>
      <c r="L34"/>
      <c r="M34"/>
      <c r="O34" s="94"/>
      <c r="P34" s="2"/>
      <c r="Q34" s="1" t="s">
        <v>80</v>
      </c>
      <c r="R34" s="1">
        <v>3</v>
      </c>
      <c r="S34" s="1" t="s">
        <v>296</v>
      </c>
      <c r="T34" s="13">
        <v>108</v>
      </c>
      <c r="U34" s="13">
        <v>1</v>
      </c>
      <c r="V34" s="13"/>
      <c r="W34" s="13">
        <f t="shared" si="2"/>
        <v>1</v>
      </c>
      <c r="X34" s="1">
        <f t="shared" si="3"/>
        <v>108</v>
      </c>
      <c r="Y34" s="13"/>
    </row>
    <row r="35" spans="8:25" x14ac:dyDescent="0.2">
      <c r="H35"/>
      <c r="I35"/>
      <c r="J35"/>
      <c r="K35"/>
      <c r="L35"/>
      <c r="M35"/>
      <c r="O35" s="94"/>
      <c r="P35" s="2"/>
      <c r="Q35" s="1" t="s">
        <v>284</v>
      </c>
      <c r="R35" s="1"/>
      <c r="S35" s="1"/>
      <c r="T35" s="13"/>
      <c r="U35" s="13"/>
      <c r="V35" s="13"/>
      <c r="W35" s="13" t="e">
        <f t="shared" si="2"/>
        <v>#DIV/0!</v>
      </c>
      <c r="X35" s="1" t="e">
        <f t="shared" si="3"/>
        <v>#DIV/0!</v>
      </c>
      <c r="Y35" s="13" t="s">
        <v>282</v>
      </c>
    </row>
    <row r="36" spans="8:25" x14ac:dyDescent="0.2">
      <c r="H36"/>
      <c r="I36"/>
      <c r="J36"/>
      <c r="K36"/>
      <c r="L36"/>
      <c r="M36"/>
      <c r="O36" s="94"/>
      <c r="P36" s="2"/>
      <c r="Q36" s="1" t="s">
        <v>245</v>
      </c>
      <c r="R36" s="1"/>
      <c r="S36" s="1"/>
      <c r="T36" s="13"/>
      <c r="U36" s="13"/>
      <c r="V36" s="13"/>
      <c r="W36" s="13" t="e">
        <f t="shared" si="2"/>
        <v>#DIV/0!</v>
      </c>
      <c r="X36" s="1" t="e">
        <f t="shared" si="3"/>
        <v>#DIV/0!</v>
      </c>
      <c r="Y36" s="13" t="s">
        <v>268</v>
      </c>
    </row>
    <row r="37" spans="8:25" x14ac:dyDescent="0.2">
      <c r="H37"/>
      <c r="I37"/>
      <c r="J37"/>
      <c r="K37"/>
      <c r="L37"/>
      <c r="M37"/>
      <c r="O37" s="94"/>
      <c r="P37" s="2"/>
      <c r="Q37" s="1" t="s">
        <v>255</v>
      </c>
      <c r="R37" s="1">
        <v>0.25</v>
      </c>
      <c r="S37" s="1" t="s">
        <v>35</v>
      </c>
      <c r="T37" s="13">
        <v>80</v>
      </c>
      <c r="U37" s="13">
        <v>1</v>
      </c>
      <c r="V37" s="13"/>
      <c r="W37" s="13">
        <f t="shared" si="2"/>
        <v>1</v>
      </c>
      <c r="X37" s="1">
        <f t="shared" si="3"/>
        <v>80</v>
      </c>
      <c r="Y37" s="13"/>
    </row>
    <row r="38" spans="8:25" x14ac:dyDescent="0.2">
      <c r="H38"/>
      <c r="I38"/>
      <c r="J38"/>
      <c r="K38"/>
      <c r="L38"/>
      <c r="M38"/>
      <c r="O38" s="94"/>
      <c r="P38" s="2"/>
      <c r="Q38" s="1" t="s">
        <v>62</v>
      </c>
      <c r="R38" s="1">
        <v>0.125</v>
      </c>
      <c r="S38" s="1" t="s">
        <v>53</v>
      </c>
      <c r="T38" s="13">
        <v>30</v>
      </c>
      <c r="U38" s="13">
        <v>2</v>
      </c>
      <c r="V38" s="13"/>
      <c r="W38" s="13">
        <f t="shared" si="2"/>
        <v>2</v>
      </c>
      <c r="X38" s="1">
        <f t="shared" si="3"/>
        <v>60</v>
      </c>
      <c r="Y38" s="13"/>
    </row>
    <row r="39" spans="8:25" x14ac:dyDescent="0.2">
      <c r="H39"/>
      <c r="I39"/>
      <c r="J39"/>
      <c r="K39"/>
      <c r="L39"/>
      <c r="M39"/>
      <c r="O39" s="95"/>
      <c r="P39" s="2"/>
      <c r="Q39" s="1" t="s">
        <v>350</v>
      </c>
      <c r="R39" s="1"/>
      <c r="S39" s="1"/>
      <c r="T39" s="13"/>
      <c r="U39" s="13">
        <v>1</v>
      </c>
      <c r="V39" s="13"/>
      <c r="W39" s="13">
        <f t="shared" si="2"/>
        <v>1</v>
      </c>
      <c r="X39" s="1">
        <f t="shared" si="3"/>
        <v>0</v>
      </c>
      <c r="Y39" s="13" t="s">
        <v>59</v>
      </c>
    </row>
    <row r="40" spans="8:25" ht="34" customHeight="1" x14ac:dyDescent="0.2">
      <c r="H40"/>
      <c r="I40"/>
      <c r="J40"/>
      <c r="K40"/>
      <c r="L40"/>
      <c r="M40"/>
      <c r="O40" s="96" t="s">
        <v>236</v>
      </c>
      <c r="P40" s="2"/>
      <c r="Q40" s="1" t="s">
        <v>272</v>
      </c>
      <c r="R40" s="1">
        <v>1</v>
      </c>
      <c r="S40" s="1" t="s">
        <v>273</v>
      </c>
      <c r="T40" s="1">
        <v>128</v>
      </c>
      <c r="U40" s="1">
        <v>0.625</v>
      </c>
      <c r="V40" s="1"/>
      <c r="W40" s="13">
        <f t="shared" si="2"/>
        <v>0.625</v>
      </c>
      <c r="X40" s="1">
        <f t="shared" si="3"/>
        <v>80</v>
      </c>
      <c r="Y40" s="1"/>
    </row>
    <row r="41" spans="8:25" x14ac:dyDescent="0.2">
      <c r="H41"/>
      <c r="I41"/>
      <c r="J41"/>
      <c r="K41"/>
      <c r="L41"/>
      <c r="M41"/>
      <c r="O41" s="118"/>
      <c r="P41" s="2"/>
      <c r="Q41" s="1" t="s">
        <v>100</v>
      </c>
      <c r="R41" s="1"/>
      <c r="S41" s="1"/>
      <c r="T41" s="1"/>
      <c r="U41" s="1"/>
      <c r="V41" s="1"/>
      <c r="W41" s="13" t="e">
        <f t="shared" si="2"/>
        <v>#DIV/0!</v>
      </c>
      <c r="X41" s="1" t="e">
        <f t="shared" si="3"/>
        <v>#DIV/0!</v>
      </c>
      <c r="Y41" s="1" t="s">
        <v>297</v>
      </c>
    </row>
    <row r="42" spans="8:25" x14ac:dyDescent="0.2">
      <c r="H42"/>
      <c r="I42"/>
      <c r="J42"/>
      <c r="K42"/>
      <c r="L42"/>
      <c r="M42"/>
      <c r="O42" s="89" t="s">
        <v>97</v>
      </c>
      <c r="P42" s="2"/>
      <c r="Q42" s="1" t="s">
        <v>111</v>
      </c>
      <c r="R42" s="1"/>
      <c r="S42" s="1"/>
      <c r="T42" s="1"/>
      <c r="U42" s="1"/>
      <c r="V42" s="1"/>
      <c r="W42" s="13" t="e">
        <f t="shared" si="2"/>
        <v>#DIV/0!</v>
      </c>
      <c r="X42" s="1" t="e">
        <f t="shared" si="3"/>
        <v>#DIV/0!</v>
      </c>
      <c r="Y42" s="1" t="s">
        <v>298</v>
      </c>
    </row>
    <row r="43" spans="8:25" x14ac:dyDescent="0.2">
      <c r="H43"/>
      <c r="I43"/>
      <c r="J43"/>
      <c r="K43"/>
      <c r="L43"/>
      <c r="M43"/>
      <c r="O43" s="89"/>
      <c r="P43" s="2"/>
      <c r="Q43" s="1" t="s">
        <v>299</v>
      </c>
      <c r="R43" s="1"/>
      <c r="S43" s="1"/>
      <c r="T43" s="1"/>
      <c r="U43" s="1"/>
      <c r="V43" s="1"/>
      <c r="W43" s="13" t="e">
        <f t="shared" si="2"/>
        <v>#DIV/0!</v>
      </c>
      <c r="X43" s="1" t="e">
        <f t="shared" si="3"/>
        <v>#DIV/0!</v>
      </c>
      <c r="Y43" s="1" t="s">
        <v>300</v>
      </c>
    </row>
    <row r="44" spans="8:25" x14ac:dyDescent="0.2">
      <c r="O44" s="89"/>
      <c r="P44" s="1"/>
      <c r="Q44" s="1" t="s">
        <v>301</v>
      </c>
      <c r="R44" s="1"/>
      <c r="S44" s="1"/>
      <c r="T44" s="1"/>
      <c r="U44" s="1"/>
      <c r="V44" s="1"/>
      <c r="W44" s="13" t="e">
        <f t="shared" si="2"/>
        <v>#DIV/0!</v>
      </c>
      <c r="X44" s="1" t="e">
        <f t="shared" si="3"/>
        <v>#DIV/0!</v>
      </c>
      <c r="Y44" s="1" t="s">
        <v>300</v>
      </c>
    </row>
    <row r="45" spans="8:25" x14ac:dyDescent="0.2">
      <c r="O45" s="89"/>
      <c r="P45" s="1"/>
      <c r="Q45" s="1" t="s">
        <v>303</v>
      </c>
      <c r="R45" s="1"/>
      <c r="S45" s="1"/>
      <c r="T45" s="1"/>
      <c r="U45" s="1"/>
      <c r="V45" s="1"/>
      <c r="W45" s="13" t="e">
        <f t="shared" si="2"/>
        <v>#DIV/0!</v>
      </c>
      <c r="X45" s="1" t="e">
        <f t="shared" si="3"/>
        <v>#DIV/0!</v>
      </c>
      <c r="Y45" s="1" t="s">
        <v>394</v>
      </c>
    </row>
    <row r="46" spans="8:25" x14ac:dyDescent="0.2">
      <c r="O46" s="93" t="s">
        <v>395</v>
      </c>
      <c r="P46" s="1"/>
      <c r="Q46" s="1" t="s">
        <v>238</v>
      </c>
      <c r="R46" s="1"/>
      <c r="S46" s="1"/>
      <c r="T46" s="1"/>
      <c r="U46" s="1"/>
      <c r="V46" s="1"/>
      <c r="W46" s="13" t="e">
        <f t="shared" si="2"/>
        <v>#DIV/0!</v>
      </c>
      <c r="X46" s="1" t="e">
        <f t="shared" si="3"/>
        <v>#DIV/0!</v>
      </c>
      <c r="Y46" s="1" t="s">
        <v>308</v>
      </c>
    </row>
    <row r="47" spans="8:25" x14ac:dyDescent="0.2">
      <c r="O47" s="95"/>
      <c r="P47" s="1"/>
      <c r="Q47" s="1" t="s">
        <v>309</v>
      </c>
      <c r="R47" s="1">
        <v>1</v>
      </c>
      <c r="S47" s="1" t="s">
        <v>71</v>
      </c>
      <c r="T47" s="1">
        <v>28</v>
      </c>
      <c r="U47" s="1">
        <v>1</v>
      </c>
      <c r="V47" s="1"/>
      <c r="W47" s="13">
        <f t="shared" si="2"/>
        <v>1</v>
      </c>
      <c r="X47" s="1">
        <f t="shared" si="3"/>
        <v>28</v>
      </c>
      <c r="Y47" s="1"/>
    </row>
    <row r="48" spans="8:25" x14ac:dyDescent="0.2">
      <c r="O48" s="2" t="s">
        <v>264</v>
      </c>
      <c r="P48" s="1"/>
      <c r="Q48" s="1" t="s">
        <v>119</v>
      </c>
      <c r="R48" s="1">
        <v>1</v>
      </c>
      <c r="S48" s="1" t="s">
        <v>71</v>
      </c>
      <c r="T48" s="1">
        <v>112</v>
      </c>
      <c r="U48" s="1">
        <v>1</v>
      </c>
      <c r="V48" s="1"/>
      <c r="W48" s="13">
        <f t="shared" si="2"/>
        <v>1</v>
      </c>
      <c r="X48" s="1">
        <f t="shared" si="3"/>
        <v>112</v>
      </c>
      <c r="Y48" s="1"/>
    </row>
  </sheetData>
  <mergeCells count="19">
    <mergeCell ref="C2:H3"/>
    <mergeCell ref="I2:M3"/>
    <mergeCell ref="O2:T3"/>
    <mergeCell ref="U2:Y3"/>
    <mergeCell ref="AB2:AG3"/>
    <mergeCell ref="C5:C11"/>
    <mergeCell ref="O16:O30"/>
    <mergeCell ref="C12:C21"/>
    <mergeCell ref="C22:C24"/>
    <mergeCell ref="C25:C26"/>
    <mergeCell ref="O31:O39"/>
    <mergeCell ref="O40:O41"/>
    <mergeCell ref="O42:O45"/>
    <mergeCell ref="O46:O47"/>
    <mergeCell ref="AH2:AL3"/>
    <mergeCell ref="O5:O15"/>
    <mergeCell ref="AB5:AB12"/>
    <mergeCell ref="AB13:AB18"/>
    <mergeCell ref="AB19:AB2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00A4F-BFC3-C546-8C6A-1DE321AE1345}">
  <dimension ref="C2:AL43"/>
  <sheetViews>
    <sheetView zoomScale="92" zoomScaleNormal="150" workbookViewId="0">
      <selection activeCell="F15" sqref="F15"/>
    </sheetView>
  </sheetViews>
  <sheetFormatPr baseColWidth="10" defaultColWidth="10.83203125" defaultRowHeight="16" x14ac:dyDescent="0.2"/>
  <cols>
    <col min="4" max="4" width="14.83203125" hidden="1" customWidth="1"/>
    <col min="5" max="5" width="27.6640625" customWidth="1"/>
    <col min="6" max="6" width="11.83203125" customWidth="1"/>
    <col min="7" max="7" width="18.83203125" customWidth="1"/>
    <col min="8" max="8" width="10.83203125" style="15"/>
    <col min="9" max="9" width="14" style="15" bestFit="1" customWidth="1"/>
    <col min="10" max="10" width="9.6640625" style="15" customWidth="1"/>
    <col min="11" max="11" width="10.83203125" style="15"/>
    <col min="12" max="12" width="14.1640625" style="15" customWidth="1"/>
    <col min="13" max="13" width="21.33203125" style="15" bestFit="1" customWidth="1"/>
    <col min="16" max="16" width="0" hidden="1" customWidth="1"/>
    <col min="17" max="17" width="46" customWidth="1"/>
    <col min="18" max="18" width="15.83203125" bestFit="1" customWidth="1"/>
    <col min="19" max="19" width="23.33203125" bestFit="1" customWidth="1"/>
    <col min="20" max="21" width="12.83203125" bestFit="1" customWidth="1"/>
    <col min="22" max="22" width="12.83203125" customWidth="1"/>
    <col min="23" max="23" width="11.33203125" bestFit="1" customWidth="1"/>
    <col min="24" max="24" width="12.6640625" customWidth="1"/>
    <col min="25" max="25" width="14.83203125" customWidth="1"/>
    <col min="26" max="26" width="13.1640625" customWidth="1"/>
    <col min="29" max="29" width="0" hidden="1" customWidth="1"/>
    <col min="30" max="30" width="26.1640625" bestFit="1" customWidth="1"/>
    <col min="32" max="32" width="21.5" customWidth="1"/>
    <col min="38" max="38" width="14.33203125" customWidth="1"/>
  </cols>
  <sheetData>
    <row r="2" spans="3:38" ht="16" customHeight="1" x14ac:dyDescent="0.2">
      <c r="C2" s="116" t="s">
        <v>0</v>
      </c>
      <c r="D2" s="116"/>
      <c r="E2" s="116"/>
      <c r="F2" s="116"/>
      <c r="G2" s="116"/>
      <c r="H2" s="116"/>
      <c r="I2" s="116" t="s">
        <v>1</v>
      </c>
      <c r="J2" s="116"/>
      <c r="K2" s="116"/>
      <c r="L2" s="116"/>
      <c r="M2" s="116"/>
      <c r="O2" s="116" t="s">
        <v>2</v>
      </c>
      <c r="P2" s="116"/>
      <c r="Q2" s="116"/>
      <c r="R2" s="116"/>
      <c r="S2" s="116"/>
      <c r="T2" s="116"/>
      <c r="U2" s="116" t="s">
        <v>3</v>
      </c>
      <c r="V2" s="116"/>
      <c r="W2" s="116"/>
      <c r="X2" s="116"/>
      <c r="Y2" s="116"/>
      <c r="AB2" s="116" t="s">
        <v>4</v>
      </c>
      <c r="AC2" s="116"/>
      <c r="AD2" s="116"/>
      <c r="AE2" s="116"/>
      <c r="AF2" s="116"/>
      <c r="AG2" s="116"/>
      <c r="AH2" s="116" t="s">
        <v>5</v>
      </c>
      <c r="AI2" s="116"/>
      <c r="AJ2" s="116"/>
      <c r="AK2" s="116"/>
      <c r="AL2" s="116"/>
    </row>
    <row r="3" spans="3:38" ht="16" customHeight="1" x14ac:dyDescent="0.2">
      <c r="C3" s="116"/>
      <c r="D3" s="116"/>
      <c r="E3" s="116"/>
      <c r="F3" s="116"/>
      <c r="G3" s="116"/>
      <c r="H3" s="116"/>
      <c r="I3" s="116"/>
      <c r="J3" s="116"/>
      <c r="K3" s="116"/>
      <c r="L3" s="116"/>
      <c r="M3" s="116"/>
      <c r="O3" s="116"/>
      <c r="P3" s="116"/>
      <c r="Q3" s="116"/>
      <c r="R3" s="116"/>
      <c r="S3" s="116"/>
      <c r="T3" s="116"/>
      <c r="U3" s="116"/>
      <c r="V3" s="116"/>
      <c r="W3" s="116"/>
      <c r="X3" s="116"/>
      <c r="Y3" s="116"/>
      <c r="AB3" s="116"/>
      <c r="AC3" s="116"/>
      <c r="AD3" s="116"/>
      <c r="AE3" s="116"/>
      <c r="AF3" s="116"/>
      <c r="AG3" s="116"/>
      <c r="AH3" s="116"/>
      <c r="AI3" s="116"/>
      <c r="AJ3" s="116"/>
      <c r="AK3" s="116"/>
      <c r="AL3" s="116"/>
    </row>
    <row r="4" spans="3:38" ht="51" x14ac:dyDescent="0.2">
      <c r="C4" s="1"/>
      <c r="D4" s="5" t="s">
        <v>6</v>
      </c>
      <c r="E4" s="12" t="s">
        <v>7</v>
      </c>
      <c r="F4" s="12" t="s">
        <v>8</v>
      </c>
      <c r="G4" s="12" t="s">
        <v>9</v>
      </c>
      <c r="H4" s="12" t="s">
        <v>10</v>
      </c>
      <c r="I4" s="12" t="s">
        <v>11</v>
      </c>
      <c r="J4" s="12" t="s">
        <v>12</v>
      </c>
      <c r="K4" s="12" t="s">
        <v>13</v>
      </c>
      <c r="L4" s="12" t="s">
        <v>14</v>
      </c>
      <c r="M4" s="12" t="s">
        <v>153</v>
      </c>
      <c r="O4" s="1"/>
      <c r="P4" s="5" t="s">
        <v>6</v>
      </c>
      <c r="Q4" s="5" t="s">
        <v>7</v>
      </c>
      <c r="R4" s="5" t="s">
        <v>15</v>
      </c>
      <c r="S4" s="5" t="s">
        <v>9</v>
      </c>
      <c r="T4" s="5" t="s">
        <v>10</v>
      </c>
      <c r="U4" s="5" t="s">
        <v>11</v>
      </c>
      <c r="V4" s="5" t="s">
        <v>12</v>
      </c>
      <c r="W4" s="5" t="s">
        <v>13</v>
      </c>
      <c r="X4" s="5" t="s">
        <v>14</v>
      </c>
      <c r="Y4" s="12" t="s">
        <v>153</v>
      </c>
      <c r="AB4" s="1"/>
      <c r="AC4" s="5" t="s">
        <v>6</v>
      </c>
      <c r="AD4" s="5" t="s">
        <v>7</v>
      </c>
      <c r="AE4" s="5" t="s">
        <v>15</v>
      </c>
      <c r="AF4" s="5" t="s">
        <v>9</v>
      </c>
      <c r="AG4" s="5" t="s">
        <v>10</v>
      </c>
      <c r="AH4" s="5" t="s">
        <v>11</v>
      </c>
      <c r="AI4" s="5" t="s">
        <v>12</v>
      </c>
      <c r="AJ4" s="5" t="s">
        <v>13</v>
      </c>
      <c r="AK4" s="5" t="s">
        <v>14</v>
      </c>
      <c r="AL4" s="5" t="s">
        <v>153</v>
      </c>
    </row>
    <row r="5" spans="3:38" x14ac:dyDescent="0.2">
      <c r="C5" s="89" t="s">
        <v>17</v>
      </c>
      <c r="D5" s="2" t="s">
        <v>18</v>
      </c>
      <c r="E5" s="7" t="s">
        <v>325</v>
      </c>
      <c r="F5" s="1">
        <v>1</v>
      </c>
      <c r="G5" s="1" t="s">
        <v>29</v>
      </c>
      <c r="H5" s="13">
        <v>50</v>
      </c>
      <c r="I5" s="13">
        <v>2</v>
      </c>
      <c r="J5" s="13"/>
      <c r="K5" s="13">
        <f>IF(I5=0,(J5/F5),I5)</f>
        <v>2</v>
      </c>
      <c r="L5" s="13">
        <f>K5*H5</f>
        <v>100</v>
      </c>
      <c r="M5" s="13"/>
      <c r="O5" s="93" t="s">
        <v>17</v>
      </c>
      <c r="P5" s="2" t="s">
        <v>18</v>
      </c>
      <c r="Q5" s="7" t="s">
        <v>28</v>
      </c>
      <c r="R5" s="1">
        <v>1</v>
      </c>
      <c r="S5" s="1" t="s">
        <v>29</v>
      </c>
      <c r="T5" s="1">
        <v>50</v>
      </c>
      <c r="U5" s="1">
        <v>2</v>
      </c>
      <c r="V5" s="1"/>
      <c r="W5" s="13">
        <f>IF(U5=0,(V5/R5),U5)</f>
        <v>2</v>
      </c>
      <c r="X5" s="1">
        <f>T5*W5</f>
        <v>100</v>
      </c>
      <c r="Y5" s="1"/>
      <c r="AB5" s="89" t="s">
        <v>17</v>
      </c>
      <c r="AC5" s="6"/>
      <c r="AD5" s="1" t="s">
        <v>242</v>
      </c>
      <c r="AE5" s="1">
        <v>1</v>
      </c>
      <c r="AF5" s="1" t="s">
        <v>29</v>
      </c>
      <c r="AG5" s="24">
        <v>50</v>
      </c>
      <c r="AH5" s="24">
        <v>1</v>
      </c>
      <c r="AI5" s="1"/>
      <c r="AJ5" s="13">
        <f>IF(AH5=0,(AI5/AE5),AH5)</f>
        <v>1</v>
      </c>
      <c r="AK5" s="1">
        <f>AG5*AJ5</f>
        <v>50</v>
      </c>
      <c r="AL5" s="1" t="s">
        <v>372</v>
      </c>
    </row>
    <row r="6" spans="3:38" x14ac:dyDescent="0.2">
      <c r="C6" s="89"/>
      <c r="D6" s="6" t="s">
        <v>23</v>
      </c>
      <c r="E6" s="8" t="s">
        <v>326</v>
      </c>
      <c r="F6" s="1"/>
      <c r="G6" s="1"/>
      <c r="H6" s="13"/>
      <c r="I6" s="13">
        <v>2</v>
      </c>
      <c r="J6" s="13"/>
      <c r="K6" s="13">
        <f t="shared" ref="K6:K36" si="0">IF(I6=0,(J6/F6),I6)</f>
        <v>2</v>
      </c>
      <c r="L6" s="13">
        <f t="shared" ref="L6:L36" si="1">K6*H6</f>
        <v>0</v>
      </c>
      <c r="M6" s="13"/>
      <c r="O6" s="94"/>
      <c r="P6" s="6"/>
      <c r="Q6" s="8" t="s">
        <v>276</v>
      </c>
      <c r="R6" s="1">
        <v>1</v>
      </c>
      <c r="S6" s="1" t="s">
        <v>239</v>
      </c>
      <c r="T6" s="1"/>
      <c r="U6" s="1"/>
      <c r="V6" s="1"/>
      <c r="W6" s="13">
        <f t="shared" ref="W6:W26" si="2">IF(U6=0,(V6/R6),U6)</f>
        <v>0</v>
      </c>
      <c r="X6" s="1">
        <f t="shared" ref="X6:X26" si="3">T6*W6</f>
        <v>0</v>
      </c>
      <c r="Y6" s="1"/>
      <c r="AB6" s="89"/>
      <c r="AC6" s="6"/>
      <c r="AD6" s="23" t="s">
        <v>237</v>
      </c>
      <c r="AE6" s="27">
        <v>1</v>
      </c>
      <c r="AF6" s="23" t="s">
        <v>35</v>
      </c>
      <c r="AG6" s="28">
        <v>52</v>
      </c>
      <c r="AH6" s="28">
        <v>1</v>
      </c>
      <c r="AI6" s="1"/>
      <c r="AJ6" s="13">
        <f t="shared" ref="AJ6:AJ29" si="4">IF(AH6=0,(AI6/AE6),AH6)</f>
        <v>1</v>
      </c>
      <c r="AK6" s="1">
        <f t="shared" ref="AK6:AK29" si="5">AG6*AJ6</f>
        <v>52</v>
      </c>
      <c r="AL6" s="1"/>
    </row>
    <row r="7" spans="3:38" x14ac:dyDescent="0.2">
      <c r="C7" s="89"/>
      <c r="D7" s="2" t="s">
        <v>30</v>
      </c>
      <c r="E7" s="7" t="s">
        <v>329</v>
      </c>
      <c r="F7" s="1">
        <v>1</v>
      </c>
      <c r="G7" s="1" t="s">
        <v>239</v>
      </c>
      <c r="H7" s="13"/>
      <c r="I7" s="13"/>
      <c r="J7" s="13"/>
      <c r="K7" s="13">
        <f t="shared" si="0"/>
        <v>0</v>
      </c>
      <c r="L7" s="13">
        <f t="shared" si="1"/>
        <v>0</v>
      </c>
      <c r="M7" s="13"/>
      <c r="O7" s="94"/>
      <c r="P7" s="2"/>
      <c r="Q7" s="1" t="s">
        <v>361</v>
      </c>
      <c r="R7" s="1"/>
      <c r="S7" s="1"/>
      <c r="T7" s="1"/>
      <c r="U7" s="1"/>
      <c r="V7" s="1"/>
      <c r="W7" s="13" t="e">
        <f t="shared" si="2"/>
        <v>#DIV/0!</v>
      </c>
      <c r="X7" s="1" t="e">
        <f t="shared" si="3"/>
        <v>#DIV/0!</v>
      </c>
      <c r="Y7" s="1"/>
      <c r="AB7" s="89"/>
      <c r="AC7" s="6"/>
      <c r="AD7" s="1" t="s">
        <v>240</v>
      </c>
      <c r="AE7" s="1">
        <v>1</v>
      </c>
      <c r="AF7" s="1" t="s">
        <v>310</v>
      </c>
      <c r="AG7" s="24">
        <v>30</v>
      </c>
      <c r="AH7" s="24">
        <v>1</v>
      </c>
      <c r="AI7" s="1"/>
      <c r="AJ7" s="13">
        <f t="shared" si="4"/>
        <v>1</v>
      </c>
      <c r="AK7" s="1">
        <f t="shared" si="5"/>
        <v>30</v>
      </c>
      <c r="AL7" s="1"/>
    </row>
    <row r="8" spans="3:38" x14ac:dyDescent="0.2">
      <c r="C8" s="89"/>
      <c r="D8" s="2" t="s">
        <v>36</v>
      </c>
      <c r="E8" s="1" t="s">
        <v>331</v>
      </c>
      <c r="F8" s="1">
        <v>1</v>
      </c>
      <c r="G8" s="1" t="s">
        <v>29</v>
      </c>
      <c r="H8" s="13"/>
      <c r="I8" s="13"/>
      <c r="J8" s="13"/>
      <c r="K8" s="13">
        <f t="shared" si="0"/>
        <v>0</v>
      </c>
      <c r="L8" s="13">
        <f t="shared" si="1"/>
        <v>0</v>
      </c>
      <c r="M8" s="13"/>
      <c r="O8" s="94"/>
      <c r="P8" s="2"/>
      <c r="Q8" s="1" t="s">
        <v>362</v>
      </c>
      <c r="R8" s="1"/>
      <c r="S8" s="1"/>
      <c r="T8" s="1"/>
      <c r="U8" s="1"/>
      <c r="V8" s="1"/>
      <c r="W8" s="13" t="e">
        <f t="shared" si="2"/>
        <v>#DIV/0!</v>
      </c>
      <c r="X8" s="1" t="e">
        <f t="shared" si="3"/>
        <v>#DIV/0!</v>
      </c>
      <c r="Y8" s="1"/>
      <c r="AB8" s="89"/>
      <c r="AC8" s="6"/>
      <c r="AD8" s="1" t="s">
        <v>373</v>
      </c>
      <c r="AE8" s="1">
        <v>1</v>
      </c>
      <c r="AF8" s="1" t="s">
        <v>239</v>
      </c>
      <c r="AG8" s="24"/>
      <c r="AH8" s="24"/>
      <c r="AI8" s="1"/>
      <c r="AJ8" s="13">
        <f t="shared" si="4"/>
        <v>0</v>
      </c>
      <c r="AK8" s="1">
        <f t="shared" si="5"/>
        <v>0</v>
      </c>
      <c r="AL8" s="1"/>
    </row>
    <row r="9" spans="3:38" x14ac:dyDescent="0.2">
      <c r="C9" s="89"/>
      <c r="D9" s="2"/>
      <c r="E9" s="1" t="s">
        <v>240</v>
      </c>
      <c r="F9" s="1">
        <v>1</v>
      </c>
      <c r="G9" s="1" t="s">
        <v>310</v>
      </c>
      <c r="H9" s="13">
        <v>30</v>
      </c>
      <c r="I9" s="13">
        <v>1</v>
      </c>
      <c r="J9" s="13"/>
      <c r="K9" s="13">
        <f t="shared" si="0"/>
        <v>1</v>
      </c>
      <c r="L9" s="13">
        <f t="shared" si="1"/>
        <v>30</v>
      </c>
      <c r="M9" s="13"/>
      <c r="O9" s="94"/>
      <c r="P9" s="2"/>
      <c r="Q9" s="1" t="s">
        <v>272</v>
      </c>
      <c r="R9" s="1">
        <v>1</v>
      </c>
      <c r="S9" s="1" t="s">
        <v>273</v>
      </c>
      <c r="T9" s="1">
        <v>128</v>
      </c>
      <c r="U9" s="1">
        <v>1</v>
      </c>
      <c r="V9" s="1"/>
      <c r="W9" s="13">
        <f t="shared" si="2"/>
        <v>1</v>
      </c>
      <c r="X9" s="1">
        <f t="shared" si="3"/>
        <v>128</v>
      </c>
      <c r="Y9" s="1"/>
      <c r="AB9" s="89"/>
      <c r="AC9" s="2"/>
      <c r="AD9" s="1" t="s">
        <v>275</v>
      </c>
      <c r="AE9" s="1">
        <v>1</v>
      </c>
      <c r="AF9" s="1" t="s">
        <v>262</v>
      </c>
      <c r="AG9" s="24"/>
      <c r="AH9" s="24"/>
      <c r="AI9" s="1"/>
      <c r="AJ9" s="13">
        <f t="shared" si="4"/>
        <v>0</v>
      </c>
      <c r="AK9" s="1">
        <f t="shared" si="5"/>
        <v>0</v>
      </c>
      <c r="AL9" s="1"/>
    </row>
    <row r="10" spans="3:38" x14ac:dyDescent="0.2">
      <c r="C10" s="89"/>
      <c r="D10" s="2"/>
      <c r="E10" s="1" t="s">
        <v>332</v>
      </c>
      <c r="F10" s="1"/>
      <c r="G10" s="1"/>
      <c r="H10" s="13"/>
      <c r="I10" s="13"/>
      <c r="J10" s="13"/>
      <c r="K10" s="13" t="e">
        <f t="shared" si="0"/>
        <v>#DIV/0!</v>
      </c>
      <c r="L10" s="13" t="e">
        <f t="shared" si="1"/>
        <v>#DIV/0!</v>
      </c>
      <c r="M10" s="13" t="s">
        <v>396</v>
      </c>
      <c r="O10" s="95"/>
      <c r="P10" s="2"/>
      <c r="Q10" s="1" t="s">
        <v>21</v>
      </c>
      <c r="R10" s="1">
        <v>1</v>
      </c>
      <c r="S10" s="1" t="s">
        <v>262</v>
      </c>
      <c r="T10" s="1"/>
      <c r="U10" s="1"/>
      <c r="V10" s="1"/>
      <c r="W10" s="13">
        <f t="shared" si="2"/>
        <v>0</v>
      </c>
      <c r="X10" s="1">
        <f t="shared" si="3"/>
        <v>0</v>
      </c>
      <c r="Y10" s="1"/>
      <c r="AB10" s="89" t="s">
        <v>44</v>
      </c>
      <c r="AC10" s="2"/>
      <c r="AD10" s="1" t="s">
        <v>47</v>
      </c>
      <c r="AE10" s="1">
        <v>6</v>
      </c>
      <c r="AF10" s="1" t="s">
        <v>363</v>
      </c>
      <c r="AG10" s="24">
        <v>80</v>
      </c>
      <c r="AH10" s="24">
        <v>1</v>
      </c>
      <c r="AI10" s="1"/>
      <c r="AJ10" s="13">
        <f t="shared" si="4"/>
        <v>1</v>
      </c>
      <c r="AK10" s="1">
        <f t="shared" si="5"/>
        <v>80</v>
      </c>
      <c r="AL10" s="1"/>
    </row>
    <row r="11" spans="3:38" x14ac:dyDescent="0.2">
      <c r="C11" s="89"/>
      <c r="D11" s="2"/>
      <c r="E11" s="1" t="s">
        <v>334</v>
      </c>
      <c r="F11" s="1"/>
      <c r="G11" s="1"/>
      <c r="H11" s="13"/>
      <c r="I11" s="13"/>
      <c r="J11" s="13"/>
      <c r="K11" s="13" t="e">
        <f t="shared" si="0"/>
        <v>#DIV/0!</v>
      </c>
      <c r="L11" s="13" t="e">
        <f t="shared" si="1"/>
        <v>#DIV/0!</v>
      </c>
      <c r="M11" s="13" t="s">
        <v>335</v>
      </c>
      <c r="O11" s="93" t="s">
        <v>44</v>
      </c>
      <c r="P11" s="2"/>
      <c r="Q11" s="1" t="s">
        <v>345</v>
      </c>
      <c r="R11" s="1">
        <v>1</v>
      </c>
      <c r="S11" s="1" t="s">
        <v>263</v>
      </c>
      <c r="T11" s="1"/>
      <c r="U11" s="1"/>
      <c r="V11" s="1"/>
      <c r="W11" s="13">
        <f t="shared" si="2"/>
        <v>0</v>
      </c>
      <c r="X11" s="1">
        <f t="shared" si="3"/>
        <v>0</v>
      </c>
      <c r="Y11" s="1"/>
      <c r="AB11" s="89"/>
      <c r="AC11" s="2"/>
      <c r="AD11" s="1" t="s">
        <v>341</v>
      </c>
      <c r="AE11" s="1">
        <v>0.25</v>
      </c>
      <c r="AF11" s="1" t="s">
        <v>20</v>
      </c>
      <c r="AG11" s="13">
        <v>66</v>
      </c>
      <c r="AH11" s="13">
        <v>1</v>
      </c>
      <c r="AI11" s="1"/>
      <c r="AJ11" s="13">
        <f t="shared" si="4"/>
        <v>1</v>
      </c>
      <c r="AK11" s="1">
        <f t="shared" si="5"/>
        <v>66</v>
      </c>
      <c r="AL11" s="1"/>
    </row>
    <row r="12" spans="3:38" x14ac:dyDescent="0.2">
      <c r="C12" s="89"/>
      <c r="D12" s="2"/>
      <c r="E12" s="1" t="s">
        <v>104</v>
      </c>
      <c r="F12" s="1">
        <v>1</v>
      </c>
      <c r="G12" s="1" t="s">
        <v>46</v>
      </c>
      <c r="H12" s="13">
        <v>112</v>
      </c>
      <c r="I12" s="13">
        <v>0.5</v>
      </c>
      <c r="J12" s="13"/>
      <c r="K12" s="13">
        <f t="shared" si="0"/>
        <v>0.5</v>
      </c>
      <c r="L12" s="13">
        <f t="shared" si="1"/>
        <v>56</v>
      </c>
      <c r="M12" s="13"/>
      <c r="O12" s="94"/>
      <c r="P12" s="2"/>
      <c r="Q12" s="1" t="s">
        <v>45</v>
      </c>
      <c r="R12" s="1">
        <v>0.25</v>
      </c>
      <c r="S12" s="1" t="s">
        <v>20</v>
      </c>
      <c r="T12" s="1">
        <v>80</v>
      </c>
      <c r="U12" s="1">
        <v>1</v>
      </c>
      <c r="V12" s="1"/>
      <c r="W12" s="13">
        <f t="shared" si="2"/>
        <v>1</v>
      </c>
      <c r="X12" s="1">
        <f t="shared" si="3"/>
        <v>80</v>
      </c>
      <c r="Y12" s="1"/>
      <c r="AB12" s="89"/>
      <c r="AC12" s="2"/>
      <c r="AD12" s="1" t="s">
        <v>350</v>
      </c>
      <c r="AE12" s="1">
        <v>1</v>
      </c>
      <c r="AF12" s="1" t="s">
        <v>59</v>
      </c>
      <c r="AG12" s="1"/>
      <c r="AH12" s="1"/>
      <c r="AI12" s="1"/>
      <c r="AJ12" s="13">
        <f t="shared" si="4"/>
        <v>0</v>
      </c>
      <c r="AK12" s="1">
        <f t="shared" si="5"/>
        <v>0</v>
      </c>
      <c r="AL12" s="1"/>
    </row>
    <row r="13" spans="3:38" x14ac:dyDescent="0.2">
      <c r="C13" s="90" t="s">
        <v>44</v>
      </c>
      <c r="D13" s="2"/>
      <c r="E13" s="1" t="s">
        <v>50</v>
      </c>
      <c r="F13" s="1">
        <v>1</v>
      </c>
      <c r="G13" s="1" t="s">
        <v>56</v>
      </c>
      <c r="H13" s="13">
        <v>130</v>
      </c>
      <c r="I13" s="13">
        <v>1</v>
      </c>
      <c r="J13" s="13"/>
      <c r="K13" s="13">
        <f t="shared" si="0"/>
        <v>1</v>
      </c>
      <c r="L13" s="13">
        <f t="shared" si="1"/>
        <v>130</v>
      </c>
      <c r="M13" s="13"/>
      <c r="O13" s="94"/>
      <c r="P13" s="2"/>
      <c r="Q13" s="1" t="s">
        <v>21</v>
      </c>
      <c r="R13" s="1">
        <v>1</v>
      </c>
      <c r="S13" s="1" t="s">
        <v>263</v>
      </c>
      <c r="T13" s="1"/>
      <c r="U13" s="1"/>
      <c r="V13" s="1"/>
      <c r="W13" s="13">
        <f t="shared" si="2"/>
        <v>0</v>
      </c>
      <c r="X13" s="1">
        <f t="shared" si="3"/>
        <v>0</v>
      </c>
      <c r="Y13" s="1"/>
      <c r="AB13" s="89"/>
      <c r="AC13" s="2"/>
      <c r="AD13" s="1" t="s">
        <v>63</v>
      </c>
      <c r="AE13" s="1">
        <f>1/8</f>
        <v>0.125</v>
      </c>
      <c r="AF13" s="1" t="s">
        <v>53</v>
      </c>
      <c r="AG13" s="13">
        <v>30</v>
      </c>
      <c r="AH13" s="13">
        <v>2</v>
      </c>
      <c r="AI13" s="1"/>
      <c r="AJ13" s="13">
        <f t="shared" si="4"/>
        <v>2</v>
      </c>
      <c r="AK13" s="1">
        <f t="shared" si="5"/>
        <v>60</v>
      </c>
      <c r="AL13" s="1"/>
    </row>
    <row r="14" spans="3:38" x14ac:dyDescent="0.2">
      <c r="C14" s="91"/>
      <c r="D14" s="2"/>
      <c r="E14" s="1" t="s">
        <v>336</v>
      </c>
      <c r="F14" s="1"/>
      <c r="G14" s="1"/>
      <c r="H14" s="13"/>
      <c r="I14" s="13"/>
      <c r="J14" s="13"/>
      <c r="K14" s="13" t="e">
        <f t="shared" si="0"/>
        <v>#DIV/0!</v>
      </c>
      <c r="L14" s="13" t="e">
        <f t="shared" si="1"/>
        <v>#DIV/0!</v>
      </c>
      <c r="M14" s="13" t="s">
        <v>397</v>
      </c>
      <c r="O14" s="94"/>
      <c r="P14" s="2"/>
      <c r="Q14" s="1" t="s">
        <v>47</v>
      </c>
      <c r="R14" s="1">
        <v>6</v>
      </c>
      <c r="S14" s="1" t="s">
        <v>363</v>
      </c>
      <c r="T14" s="1">
        <v>80</v>
      </c>
      <c r="U14" s="1">
        <v>1</v>
      </c>
      <c r="V14" s="1"/>
      <c r="W14" s="13">
        <f t="shared" si="2"/>
        <v>1</v>
      </c>
      <c r="X14" s="1">
        <f t="shared" si="3"/>
        <v>80</v>
      </c>
      <c r="Y14" s="1"/>
      <c r="AB14" s="89"/>
      <c r="AC14" s="2"/>
      <c r="AD14" s="1" t="s">
        <v>355</v>
      </c>
      <c r="AE14" s="1">
        <v>1</v>
      </c>
      <c r="AF14" s="1" t="s">
        <v>262</v>
      </c>
      <c r="AG14" s="1"/>
      <c r="AH14" s="1"/>
      <c r="AI14" s="1"/>
      <c r="AJ14" s="13">
        <f t="shared" si="4"/>
        <v>0</v>
      </c>
      <c r="AK14" s="1">
        <f t="shared" si="5"/>
        <v>0</v>
      </c>
      <c r="AL14" s="1"/>
    </row>
    <row r="15" spans="3:38" x14ac:dyDescent="0.2">
      <c r="C15" s="91"/>
      <c r="D15" s="2"/>
      <c r="E15" s="1" t="s">
        <v>338</v>
      </c>
      <c r="F15" s="1">
        <v>1</v>
      </c>
      <c r="G15" s="1" t="s">
        <v>29</v>
      </c>
      <c r="H15" s="13">
        <v>100</v>
      </c>
      <c r="I15" s="13">
        <v>1.2</v>
      </c>
      <c r="J15" s="13"/>
      <c r="K15" s="13">
        <f t="shared" si="0"/>
        <v>1.2</v>
      </c>
      <c r="L15" s="13">
        <f t="shared" si="1"/>
        <v>120</v>
      </c>
      <c r="M15" s="13"/>
      <c r="O15" s="94"/>
      <c r="P15" s="2"/>
      <c r="Q15" s="1" t="s">
        <v>364</v>
      </c>
      <c r="R15" s="1">
        <v>0.25</v>
      </c>
      <c r="S15" s="1" t="s">
        <v>29</v>
      </c>
      <c r="T15" s="1">
        <v>66</v>
      </c>
      <c r="U15" s="1">
        <v>1</v>
      </c>
      <c r="V15" s="1"/>
      <c r="W15" s="13">
        <f t="shared" si="2"/>
        <v>1</v>
      </c>
      <c r="X15" s="1">
        <f t="shared" si="3"/>
        <v>66</v>
      </c>
      <c r="Y15" s="1"/>
      <c r="AB15" s="89"/>
      <c r="AC15" s="2"/>
      <c r="AD15" s="1" t="s">
        <v>258</v>
      </c>
      <c r="AE15" s="1">
        <v>1</v>
      </c>
      <c r="AF15" s="1" t="s">
        <v>29</v>
      </c>
      <c r="AG15" s="24">
        <v>100</v>
      </c>
      <c r="AH15" s="24">
        <v>1</v>
      </c>
      <c r="AI15" s="1"/>
      <c r="AJ15" s="13">
        <f t="shared" si="4"/>
        <v>1</v>
      </c>
      <c r="AK15" s="1">
        <f t="shared" si="5"/>
        <v>100</v>
      </c>
      <c r="AL15" s="1"/>
    </row>
    <row r="16" spans="3:38" ht="68" x14ac:dyDescent="0.2">
      <c r="C16" s="91"/>
      <c r="D16" s="2"/>
      <c r="E16" s="1" t="s">
        <v>339</v>
      </c>
      <c r="F16" s="1">
        <v>6</v>
      </c>
      <c r="G16" s="1" t="s">
        <v>340</v>
      </c>
      <c r="H16" s="13">
        <v>80</v>
      </c>
      <c r="I16" s="13">
        <v>1</v>
      </c>
      <c r="J16" s="13"/>
      <c r="K16" s="13">
        <f t="shared" si="0"/>
        <v>1</v>
      </c>
      <c r="L16" s="13">
        <f t="shared" si="1"/>
        <v>80</v>
      </c>
      <c r="M16" s="13"/>
      <c r="O16" s="94"/>
      <c r="P16" s="2"/>
      <c r="Q16" s="1" t="s">
        <v>249</v>
      </c>
      <c r="R16" s="1">
        <v>1</v>
      </c>
      <c r="S16" s="1" t="s">
        <v>56</v>
      </c>
      <c r="T16" s="1">
        <v>110</v>
      </c>
      <c r="U16" s="1"/>
      <c r="V16" s="1"/>
      <c r="W16" s="13">
        <f t="shared" si="2"/>
        <v>0</v>
      </c>
      <c r="X16" s="1">
        <f t="shared" si="3"/>
        <v>0</v>
      </c>
      <c r="Y16" s="1"/>
      <c r="AB16" s="89"/>
      <c r="AC16" s="2"/>
      <c r="AD16" s="1" t="s">
        <v>67</v>
      </c>
      <c r="AE16" s="1">
        <v>0.5</v>
      </c>
      <c r="AF16" s="1" t="s">
        <v>366</v>
      </c>
      <c r="AG16" s="24">
        <v>58</v>
      </c>
      <c r="AH16" s="24">
        <v>1</v>
      </c>
      <c r="AI16" s="1"/>
      <c r="AJ16" s="13">
        <f t="shared" si="4"/>
        <v>1</v>
      </c>
      <c r="AK16" s="1">
        <f t="shared" si="5"/>
        <v>58</v>
      </c>
      <c r="AL16" s="20" t="s">
        <v>375</v>
      </c>
    </row>
    <row r="17" spans="3:38" x14ac:dyDescent="0.2">
      <c r="C17" s="91"/>
      <c r="D17" s="2"/>
      <c r="E17" s="1" t="s">
        <v>341</v>
      </c>
      <c r="F17" s="1">
        <v>0.25</v>
      </c>
      <c r="G17" s="1" t="s">
        <v>20</v>
      </c>
      <c r="H17" s="13">
        <v>66</v>
      </c>
      <c r="I17" s="13">
        <v>1</v>
      </c>
      <c r="J17" s="13"/>
      <c r="K17" s="13">
        <f t="shared" si="0"/>
        <v>1</v>
      </c>
      <c r="L17" s="13">
        <f t="shared" si="1"/>
        <v>66</v>
      </c>
      <c r="M17" s="13"/>
      <c r="O17" s="94"/>
      <c r="P17" s="2"/>
      <c r="Q17" s="1" t="s">
        <v>67</v>
      </c>
      <c r="R17" s="1">
        <v>0.5</v>
      </c>
      <c r="S17" s="1" t="s">
        <v>366</v>
      </c>
      <c r="T17" s="1">
        <v>58</v>
      </c>
      <c r="U17" s="1">
        <v>1</v>
      </c>
      <c r="V17" s="1"/>
      <c r="W17" s="13">
        <f t="shared" si="2"/>
        <v>1</v>
      </c>
      <c r="X17" s="1">
        <f t="shared" si="3"/>
        <v>58</v>
      </c>
      <c r="Y17" s="1"/>
      <c r="AB17" s="89"/>
      <c r="AC17" s="2"/>
      <c r="AD17" s="1" t="s">
        <v>288</v>
      </c>
      <c r="AE17" s="1"/>
      <c r="AF17" s="1"/>
      <c r="AG17" s="1"/>
      <c r="AH17" s="1"/>
      <c r="AI17" s="1"/>
      <c r="AJ17" s="13" t="e">
        <f t="shared" si="4"/>
        <v>#DIV/0!</v>
      </c>
      <c r="AK17" s="1" t="e">
        <f t="shared" si="5"/>
        <v>#DIV/0!</v>
      </c>
      <c r="AL17" s="1"/>
    </row>
    <row r="18" spans="3:38" x14ac:dyDescent="0.2">
      <c r="C18" s="91"/>
      <c r="D18" s="2"/>
      <c r="E18" s="1" t="s">
        <v>79</v>
      </c>
      <c r="F18" s="1">
        <v>1</v>
      </c>
      <c r="G18" s="1" t="s">
        <v>34</v>
      </c>
      <c r="H18" s="13">
        <v>89</v>
      </c>
      <c r="I18" s="13"/>
      <c r="J18" s="13"/>
      <c r="K18" s="13">
        <f t="shared" si="0"/>
        <v>0</v>
      </c>
      <c r="L18" s="13">
        <f t="shared" si="1"/>
        <v>0</v>
      </c>
      <c r="M18" s="13" t="s">
        <v>342</v>
      </c>
      <c r="O18" s="94"/>
      <c r="P18" s="2"/>
      <c r="Q18" s="1" t="s">
        <v>62</v>
      </c>
      <c r="R18" s="1">
        <v>0.125</v>
      </c>
      <c r="S18" s="1" t="s">
        <v>53</v>
      </c>
      <c r="T18" s="22">
        <v>30</v>
      </c>
      <c r="U18" s="1">
        <v>1</v>
      </c>
      <c r="V18" s="1"/>
      <c r="W18" s="13">
        <f t="shared" si="2"/>
        <v>1</v>
      </c>
      <c r="X18" s="1">
        <f t="shared" si="3"/>
        <v>30</v>
      </c>
      <c r="Y18" s="1"/>
      <c r="AB18" s="89"/>
      <c r="AC18" s="2"/>
      <c r="AD18" s="1" t="s">
        <v>376</v>
      </c>
      <c r="AE18" s="1">
        <v>0.5</v>
      </c>
      <c r="AF18" s="1" t="s">
        <v>53</v>
      </c>
      <c r="AG18" s="24">
        <v>72</v>
      </c>
      <c r="AH18" s="24">
        <v>1</v>
      </c>
      <c r="AI18" s="1"/>
      <c r="AJ18" s="13">
        <f t="shared" si="4"/>
        <v>1</v>
      </c>
      <c r="AK18" s="1">
        <f t="shared" si="5"/>
        <v>72</v>
      </c>
      <c r="AL18" s="1"/>
    </row>
    <row r="19" spans="3:38" x14ac:dyDescent="0.2">
      <c r="C19" s="91"/>
      <c r="D19" s="2"/>
      <c r="E19" s="1" t="s">
        <v>63</v>
      </c>
      <c r="F19" s="1">
        <f>1/8</f>
        <v>0.125</v>
      </c>
      <c r="G19" s="1" t="s">
        <v>53</v>
      </c>
      <c r="H19" s="13">
        <v>30</v>
      </c>
      <c r="I19" s="13">
        <v>4</v>
      </c>
      <c r="J19" s="13"/>
      <c r="K19" s="13">
        <f t="shared" si="0"/>
        <v>4</v>
      </c>
      <c r="L19" s="13">
        <f t="shared" si="1"/>
        <v>120</v>
      </c>
      <c r="M19" s="13"/>
      <c r="O19" s="95"/>
      <c r="P19" s="2"/>
      <c r="Q19" s="1" t="s">
        <v>117</v>
      </c>
      <c r="R19" s="9">
        <v>1</v>
      </c>
      <c r="S19" s="1" t="s">
        <v>248</v>
      </c>
      <c r="T19" s="1">
        <v>110</v>
      </c>
      <c r="U19" s="1"/>
      <c r="V19" s="1"/>
      <c r="W19" s="13">
        <f t="shared" si="2"/>
        <v>0</v>
      </c>
      <c r="X19" s="1">
        <f t="shared" si="3"/>
        <v>0</v>
      </c>
      <c r="Y19" s="1"/>
      <c r="AB19" s="89"/>
      <c r="AC19" s="2"/>
      <c r="AD19" s="1" t="s">
        <v>377</v>
      </c>
      <c r="AE19" s="1">
        <v>3</v>
      </c>
      <c r="AF19" s="1" t="s">
        <v>296</v>
      </c>
      <c r="AG19" s="24">
        <v>105</v>
      </c>
      <c r="AH19" s="24">
        <v>1</v>
      </c>
      <c r="AI19" s="1"/>
      <c r="AJ19" s="13">
        <f t="shared" si="4"/>
        <v>1</v>
      </c>
      <c r="AK19" s="1">
        <f t="shared" si="5"/>
        <v>105</v>
      </c>
      <c r="AL19" s="1"/>
    </row>
    <row r="20" spans="3:38" x14ac:dyDescent="0.2">
      <c r="C20" s="91"/>
      <c r="D20" s="2"/>
      <c r="E20" s="1" t="s">
        <v>78</v>
      </c>
      <c r="F20" s="1"/>
      <c r="G20" s="1"/>
      <c r="H20" s="13"/>
      <c r="I20" s="13"/>
      <c r="J20" s="13"/>
      <c r="K20" s="13" t="e">
        <f t="shared" si="0"/>
        <v>#DIV/0!</v>
      </c>
      <c r="L20" s="13" t="e">
        <f t="shared" si="1"/>
        <v>#DIV/0!</v>
      </c>
      <c r="M20" s="13" t="s">
        <v>343</v>
      </c>
      <c r="O20" s="93" t="s">
        <v>74</v>
      </c>
      <c r="P20" s="2"/>
      <c r="Q20" s="1" t="s">
        <v>367</v>
      </c>
      <c r="R20" s="1">
        <v>1</v>
      </c>
      <c r="S20" s="1" t="s">
        <v>251</v>
      </c>
      <c r="T20" s="1"/>
      <c r="U20" s="1"/>
      <c r="V20" s="1"/>
      <c r="W20" s="13">
        <f t="shared" si="2"/>
        <v>0</v>
      </c>
      <c r="X20" s="1">
        <f t="shared" si="3"/>
        <v>0</v>
      </c>
      <c r="Y20" s="1"/>
      <c r="AB20" s="89" t="s">
        <v>74</v>
      </c>
      <c r="AC20" s="2"/>
      <c r="AD20" s="1" t="s">
        <v>378</v>
      </c>
      <c r="AE20" s="1">
        <v>0.5</v>
      </c>
      <c r="AF20" s="1" t="s">
        <v>71</v>
      </c>
      <c r="AG20" s="24">
        <v>25</v>
      </c>
      <c r="AH20" s="24">
        <v>2</v>
      </c>
      <c r="AI20" s="1"/>
      <c r="AJ20" s="13">
        <f t="shared" si="4"/>
        <v>2</v>
      </c>
      <c r="AK20" s="1">
        <f t="shared" si="5"/>
        <v>50</v>
      </c>
      <c r="AL20" s="1"/>
    </row>
    <row r="21" spans="3:38" x14ac:dyDescent="0.2">
      <c r="C21" s="91"/>
      <c r="D21" s="2"/>
      <c r="E21" s="1" t="s">
        <v>398</v>
      </c>
      <c r="F21" s="1"/>
      <c r="G21" s="1"/>
      <c r="H21" s="13"/>
      <c r="I21" s="13"/>
      <c r="J21" s="13"/>
      <c r="K21" s="13" t="e">
        <f t="shared" si="0"/>
        <v>#DIV/0!</v>
      </c>
      <c r="L21" s="13" t="e">
        <f t="shared" si="1"/>
        <v>#DIV/0!</v>
      </c>
      <c r="M21" s="13" t="s">
        <v>344</v>
      </c>
      <c r="O21" s="94"/>
      <c r="P21" s="2"/>
      <c r="Q21" s="1" t="s">
        <v>369</v>
      </c>
      <c r="R21" s="1">
        <v>1</v>
      </c>
      <c r="S21" s="1" t="s">
        <v>41</v>
      </c>
      <c r="T21" s="1">
        <v>32</v>
      </c>
      <c r="U21" s="1">
        <v>1</v>
      </c>
      <c r="V21" s="1"/>
      <c r="W21" s="13">
        <f t="shared" si="2"/>
        <v>1</v>
      </c>
      <c r="X21" s="1">
        <f t="shared" si="3"/>
        <v>32</v>
      </c>
      <c r="Y21" s="1"/>
      <c r="AB21" s="89"/>
      <c r="AC21" s="2"/>
      <c r="AD21" s="1" t="s">
        <v>240</v>
      </c>
      <c r="AE21" s="1">
        <v>1</v>
      </c>
      <c r="AF21" s="1" t="s">
        <v>310</v>
      </c>
      <c r="AG21" s="24">
        <v>30</v>
      </c>
      <c r="AH21" s="24">
        <v>1</v>
      </c>
      <c r="AI21" s="1"/>
      <c r="AJ21" s="13">
        <f t="shared" si="4"/>
        <v>1</v>
      </c>
      <c r="AK21" s="1">
        <f t="shared" si="5"/>
        <v>30</v>
      </c>
      <c r="AL21" s="1"/>
    </row>
    <row r="22" spans="3:38" x14ac:dyDescent="0.2">
      <c r="C22" s="91"/>
      <c r="D22" s="2"/>
      <c r="E22" s="1" t="s">
        <v>260</v>
      </c>
      <c r="F22" s="1">
        <v>1</v>
      </c>
      <c r="G22" s="1" t="s">
        <v>71</v>
      </c>
      <c r="H22" s="13">
        <v>65</v>
      </c>
      <c r="I22" s="13">
        <v>2</v>
      </c>
      <c r="J22" s="13"/>
      <c r="K22" s="13">
        <f t="shared" si="0"/>
        <v>2</v>
      </c>
      <c r="L22" s="13">
        <f t="shared" si="1"/>
        <v>130</v>
      </c>
      <c r="M22" s="13"/>
      <c r="O22" s="95"/>
      <c r="P22" s="2"/>
      <c r="Q22" s="1" t="s">
        <v>240</v>
      </c>
      <c r="R22" s="1">
        <v>1</v>
      </c>
      <c r="S22" s="1" t="s">
        <v>310</v>
      </c>
      <c r="T22" s="1">
        <v>30</v>
      </c>
      <c r="U22" s="1">
        <v>1</v>
      </c>
      <c r="V22" s="1"/>
      <c r="W22" s="13">
        <f t="shared" si="2"/>
        <v>1</v>
      </c>
      <c r="X22" s="1">
        <f t="shared" si="3"/>
        <v>30</v>
      </c>
      <c r="Y22" s="1"/>
      <c r="AB22" s="89"/>
      <c r="AC22" s="2"/>
      <c r="AD22" s="1" t="s">
        <v>399</v>
      </c>
      <c r="AE22" s="1">
        <v>1</v>
      </c>
      <c r="AF22" s="1" t="s">
        <v>239</v>
      </c>
      <c r="AG22" s="1"/>
      <c r="AH22" s="1"/>
      <c r="AI22" s="1"/>
      <c r="AJ22" s="13">
        <f t="shared" si="4"/>
        <v>0</v>
      </c>
      <c r="AK22" s="1">
        <f t="shared" si="5"/>
        <v>0</v>
      </c>
      <c r="AL22" s="1"/>
    </row>
    <row r="23" spans="3:38" ht="51" customHeight="1" x14ac:dyDescent="0.2">
      <c r="C23" s="92"/>
      <c r="D23" s="2"/>
      <c r="E23" s="1" t="s">
        <v>345</v>
      </c>
      <c r="F23" s="1">
        <v>1</v>
      </c>
      <c r="G23" s="1" t="s">
        <v>263</v>
      </c>
      <c r="H23" s="13"/>
      <c r="I23" s="13"/>
      <c r="J23" s="13"/>
      <c r="K23" s="13">
        <f t="shared" si="0"/>
        <v>0</v>
      </c>
      <c r="L23" s="13">
        <f t="shared" si="1"/>
        <v>0</v>
      </c>
      <c r="M23" s="13"/>
      <c r="O23" s="12" t="s">
        <v>236</v>
      </c>
      <c r="P23" s="2"/>
      <c r="Q23" s="1" t="s">
        <v>370</v>
      </c>
      <c r="R23" s="1">
        <v>1</v>
      </c>
      <c r="S23" s="1" t="s">
        <v>262</v>
      </c>
      <c r="T23" s="1"/>
      <c r="U23" s="1"/>
      <c r="V23" s="1"/>
      <c r="W23" s="13">
        <f t="shared" si="2"/>
        <v>0</v>
      </c>
      <c r="X23" s="1">
        <f t="shared" si="3"/>
        <v>0</v>
      </c>
      <c r="Y23" s="1"/>
      <c r="AB23" s="120" t="s">
        <v>236</v>
      </c>
      <c r="AC23" s="2"/>
      <c r="AD23" s="1" t="s">
        <v>272</v>
      </c>
      <c r="AE23" s="1"/>
      <c r="AF23" s="1"/>
      <c r="AG23" s="1"/>
      <c r="AH23" s="1"/>
      <c r="AI23" s="1"/>
      <c r="AJ23" s="13" t="e">
        <f t="shared" si="4"/>
        <v>#DIV/0!</v>
      </c>
      <c r="AK23" s="1" t="e">
        <f t="shared" si="5"/>
        <v>#DIV/0!</v>
      </c>
      <c r="AL23" s="1"/>
    </row>
    <row r="24" spans="3:38" x14ac:dyDescent="0.2">
      <c r="C24" s="90" t="s">
        <v>74</v>
      </c>
      <c r="D24" s="2"/>
      <c r="E24" s="1" t="s">
        <v>347</v>
      </c>
      <c r="F24" s="1">
        <v>0.25</v>
      </c>
      <c r="G24" s="1" t="s">
        <v>20</v>
      </c>
      <c r="H24" s="13">
        <v>80</v>
      </c>
      <c r="I24" s="13">
        <v>1</v>
      </c>
      <c r="J24" s="13"/>
      <c r="K24" s="13">
        <f t="shared" si="0"/>
        <v>1</v>
      </c>
      <c r="L24" s="13">
        <f t="shared" si="1"/>
        <v>80</v>
      </c>
      <c r="M24" s="13"/>
      <c r="O24" s="93" t="s">
        <v>97</v>
      </c>
      <c r="P24" s="2"/>
      <c r="Q24" s="1" t="s">
        <v>120</v>
      </c>
      <c r="R24" s="1">
        <v>9</v>
      </c>
      <c r="S24" s="1" t="s">
        <v>20</v>
      </c>
      <c r="T24" s="1">
        <v>161</v>
      </c>
      <c r="U24" s="1">
        <v>1</v>
      </c>
      <c r="V24" s="1"/>
      <c r="W24" s="13">
        <f t="shared" si="2"/>
        <v>1</v>
      </c>
      <c r="X24" s="1">
        <f t="shared" si="3"/>
        <v>161</v>
      </c>
      <c r="Y24" s="1"/>
      <c r="AB24" s="120"/>
      <c r="AC24" s="2"/>
      <c r="AD24" s="1" t="s">
        <v>119</v>
      </c>
      <c r="AE24" s="1"/>
      <c r="AF24" s="1"/>
      <c r="AG24" s="1"/>
      <c r="AH24" s="1"/>
      <c r="AI24" s="1"/>
      <c r="AJ24" s="13" t="e">
        <f t="shared" si="4"/>
        <v>#DIV/0!</v>
      </c>
      <c r="AK24" s="1" t="e">
        <f t="shared" si="5"/>
        <v>#DIV/0!</v>
      </c>
      <c r="AL24" s="1"/>
    </row>
    <row r="25" spans="3:38" x14ac:dyDescent="0.2">
      <c r="C25" s="91"/>
      <c r="D25" s="2"/>
      <c r="E25" s="1" t="s">
        <v>348</v>
      </c>
      <c r="F25" s="1"/>
      <c r="G25" s="1"/>
      <c r="H25" s="13"/>
      <c r="I25" s="13"/>
      <c r="J25" s="13"/>
      <c r="K25" s="13" t="e">
        <f t="shared" si="0"/>
        <v>#DIV/0!</v>
      </c>
      <c r="L25" s="13" t="e">
        <f t="shared" si="1"/>
        <v>#DIV/0!</v>
      </c>
      <c r="M25" s="13"/>
      <c r="O25" s="95"/>
      <c r="P25" s="2"/>
      <c r="Q25" s="1" t="s">
        <v>260</v>
      </c>
      <c r="R25" s="1">
        <v>1</v>
      </c>
      <c r="S25" s="1" t="s">
        <v>71</v>
      </c>
      <c r="T25" s="22">
        <v>65</v>
      </c>
      <c r="U25" s="22">
        <v>0.5</v>
      </c>
      <c r="V25" s="1"/>
      <c r="W25" s="13">
        <f t="shared" si="2"/>
        <v>0.5</v>
      </c>
      <c r="X25" s="1">
        <f t="shared" si="3"/>
        <v>32.5</v>
      </c>
      <c r="Y25" s="1"/>
      <c r="AB25" s="120"/>
      <c r="AC25" s="2"/>
      <c r="AD25" s="1" t="s">
        <v>117</v>
      </c>
      <c r="AE25" s="1"/>
      <c r="AF25" s="1"/>
      <c r="AG25" s="1"/>
      <c r="AH25" s="1"/>
      <c r="AI25" s="1"/>
      <c r="AJ25" s="13" t="e">
        <f t="shared" si="4"/>
        <v>#DIV/0!</v>
      </c>
      <c r="AK25" s="1" t="e">
        <f t="shared" si="5"/>
        <v>#DIV/0!</v>
      </c>
      <c r="AL25" s="1"/>
    </row>
    <row r="26" spans="3:38" x14ac:dyDescent="0.2">
      <c r="C26" s="91"/>
      <c r="D26" s="2"/>
      <c r="E26" s="1" t="s">
        <v>350</v>
      </c>
      <c r="F26" s="1">
        <v>1</v>
      </c>
      <c r="G26" s="1" t="s">
        <v>59</v>
      </c>
      <c r="H26" s="13"/>
      <c r="I26" s="13"/>
      <c r="J26" s="13"/>
      <c r="K26" s="13">
        <f t="shared" si="0"/>
        <v>0</v>
      </c>
      <c r="L26" s="13">
        <f t="shared" si="1"/>
        <v>0</v>
      </c>
      <c r="M26" s="13"/>
      <c r="O26" s="2" t="s">
        <v>395</v>
      </c>
      <c r="P26" s="2"/>
      <c r="Q26" s="1" t="s">
        <v>371</v>
      </c>
      <c r="R26" s="1">
        <v>1</v>
      </c>
      <c r="S26" s="1" t="s">
        <v>251</v>
      </c>
      <c r="T26" s="1"/>
      <c r="U26" s="1"/>
      <c r="V26" s="1"/>
      <c r="W26" s="13">
        <f t="shared" si="2"/>
        <v>0</v>
      </c>
      <c r="X26" s="1">
        <f t="shared" si="3"/>
        <v>0</v>
      </c>
      <c r="Y26" s="1"/>
      <c r="AB26" s="89" t="s">
        <v>97</v>
      </c>
      <c r="AC26" s="2"/>
      <c r="AD26" s="1" t="s">
        <v>355</v>
      </c>
      <c r="AE26" s="1">
        <v>1</v>
      </c>
      <c r="AF26" s="1" t="s">
        <v>262</v>
      </c>
      <c r="AG26" s="1"/>
      <c r="AH26" s="1"/>
      <c r="AI26" s="1"/>
      <c r="AJ26" s="13">
        <f t="shared" si="4"/>
        <v>0</v>
      </c>
      <c r="AK26" s="1">
        <f t="shared" si="5"/>
        <v>0</v>
      </c>
      <c r="AL26" s="1"/>
    </row>
    <row r="27" spans="3:38" x14ac:dyDescent="0.2">
      <c r="C27" s="92"/>
      <c r="D27" s="2"/>
      <c r="E27" s="1" t="s">
        <v>351</v>
      </c>
      <c r="F27" s="1">
        <v>1</v>
      </c>
      <c r="G27" s="1" t="s">
        <v>263</v>
      </c>
      <c r="H27" s="13"/>
      <c r="I27" s="13"/>
      <c r="J27" s="13"/>
      <c r="K27" s="13">
        <f t="shared" si="0"/>
        <v>0</v>
      </c>
      <c r="L27" s="13">
        <f t="shared" si="1"/>
        <v>0</v>
      </c>
      <c r="M27" s="13"/>
      <c r="AB27" s="89"/>
      <c r="AC27" s="2"/>
      <c r="AD27" s="1" t="s">
        <v>380</v>
      </c>
      <c r="AE27" s="1"/>
      <c r="AF27" s="1"/>
      <c r="AG27" s="1"/>
      <c r="AH27" s="1">
        <v>1</v>
      </c>
      <c r="AI27" s="1"/>
      <c r="AJ27" s="13">
        <f t="shared" si="4"/>
        <v>1</v>
      </c>
      <c r="AK27" s="1">
        <f t="shared" si="5"/>
        <v>0</v>
      </c>
      <c r="AL27" s="1" t="s">
        <v>400</v>
      </c>
    </row>
    <row r="28" spans="3:38" x14ac:dyDescent="0.2">
      <c r="C28" s="90" t="s">
        <v>97</v>
      </c>
      <c r="D28" s="2"/>
      <c r="E28" s="1" t="s">
        <v>354</v>
      </c>
      <c r="F28" s="1"/>
      <c r="G28" s="1"/>
      <c r="H28" s="13"/>
      <c r="I28" s="13">
        <v>1</v>
      </c>
      <c r="J28" s="13"/>
      <c r="K28" s="13">
        <f t="shared" si="0"/>
        <v>1</v>
      </c>
      <c r="L28" s="13">
        <f t="shared" si="1"/>
        <v>0</v>
      </c>
      <c r="M28" s="13"/>
      <c r="AB28" s="93" t="s">
        <v>395</v>
      </c>
      <c r="AC28" s="2"/>
      <c r="AD28" s="1" t="s">
        <v>401</v>
      </c>
      <c r="AE28" s="1"/>
      <c r="AF28" s="1"/>
      <c r="AG28" s="1"/>
      <c r="AH28" s="1"/>
      <c r="AI28" s="1"/>
      <c r="AJ28" s="13" t="e">
        <f t="shared" si="4"/>
        <v>#DIV/0!</v>
      </c>
      <c r="AK28" s="1" t="e">
        <f t="shared" si="5"/>
        <v>#DIV/0!</v>
      </c>
      <c r="AL28" s="1"/>
    </row>
    <row r="29" spans="3:38" x14ac:dyDescent="0.2">
      <c r="C29" s="91"/>
      <c r="D29" s="2"/>
      <c r="E29" s="1" t="s">
        <v>119</v>
      </c>
      <c r="F29" s="1">
        <v>1</v>
      </c>
      <c r="G29" s="1" t="s">
        <v>71</v>
      </c>
      <c r="H29" s="1">
        <v>112</v>
      </c>
      <c r="I29" s="13">
        <v>1</v>
      </c>
      <c r="J29" s="13"/>
      <c r="K29" s="13">
        <f t="shared" si="0"/>
        <v>1</v>
      </c>
      <c r="L29" s="13">
        <f t="shared" si="1"/>
        <v>112</v>
      </c>
      <c r="M29" s="13"/>
      <c r="AB29" s="95"/>
      <c r="AC29" s="21"/>
      <c r="AD29" s="25" t="s">
        <v>381</v>
      </c>
      <c r="AE29" s="25"/>
      <c r="AF29" s="25"/>
      <c r="AG29" s="25"/>
      <c r="AH29" s="25"/>
      <c r="AI29" s="25"/>
      <c r="AJ29" s="26" t="e">
        <f t="shared" si="4"/>
        <v>#DIV/0!</v>
      </c>
      <c r="AK29" s="25" t="e">
        <f t="shared" si="5"/>
        <v>#DIV/0!</v>
      </c>
      <c r="AL29" s="25"/>
    </row>
    <row r="30" spans="3:38" x14ac:dyDescent="0.2">
      <c r="C30" s="92"/>
      <c r="D30" s="2"/>
      <c r="E30" s="1" t="s">
        <v>21</v>
      </c>
      <c r="F30" s="1">
        <v>1</v>
      </c>
      <c r="G30" s="1" t="s">
        <v>262</v>
      </c>
      <c r="H30" s="13"/>
      <c r="I30" s="13"/>
      <c r="J30" s="13"/>
      <c r="K30" s="13">
        <f t="shared" si="0"/>
        <v>0</v>
      </c>
      <c r="L30" s="13">
        <f t="shared" si="1"/>
        <v>0</v>
      </c>
      <c r="M30" s="13"/>
    </row>
    <row r="31" spans="3:38" ht="34" customHeight="1" x14ac:dyDescent="0.2">
      <c r="C31" s="121" t="s">
        <v>402</v>
      </c>
      <c r="D31" s="2"/>
      <c r="E31" s="1" t="s">
        <v>355</v>
      </c>
      <c r="F31" s="1">
        <v>1</v>
      </c>
      <c r="G31" s="1" t="s">
        <v>263</v>
      </c>
      <c r="H31" s="13"/>
      <c r="I31" s="13"/>
      <c r="J31" s="13"/>
      <c r="K31" s="13">
        <f t="shared" si="0"/>
        <v>0</v>
      </c>
      <c r="L31" s="13">
        <f t="shared" si="1"/>
        <v>0</v>
      </c>
      <c r="M31" s="13"/>
    </row>
    <row r="32" spans="3:38" x14ac:dyDescent="0.2">
      <c r="C32" s="122"/>
      <c r="D32" s="2"/>
      <c r="E32" s="1" t="s">
        <v>356</v>
      </c>
      <c r="F32" s="1">
        <v>1</v>
      </c>
      <c r="G32" s="1" t="s">
        <v>403</v>
      </c>
      <c r="H32" s="13"/>
      <c r="I32" s="13"/>
      <c r="J32" s="13"/>
      <c r="K32" s="13">
        <f t="shared" si="0"/>
        <v>0</v>
      </c>
      <c r="L32" s="13">
        <f t="shared" si="1"/>
        <v>0</v>
      </c>
      <c r="M32" s="13"/>
    </row>
    <row r="33" spans="3:13" x14ac:dyDescent="0.2">
      <c r="C33" s="123"/>
      <c r="D33" s="2"/>
      <c r="E33" s="1" t="s">
        <v>358</v>
      </c>
      <c r="F33" s="1">
        <v>1</v>
      </c>
      <c r="G33" s="1" t="s">
        <v>239</v>
      </c>
      <c r="H33" s="13"/>
      <c r="I33" s="13"/>
      <c r="J33" s="13"/>
      <c r="K33" s="13">
        <f t="shared" si="0"/>
        <v>0</v>
      </c>
      <c r="L33" s="13">
        <f t="shared" si="1"/>
        <v>0</v>
      </c>
      <c r="M33" s="13"/>
    </row>
    <row r="34" spans="3:13" x14ac:dyDescent="0.2">
      <c r="C34" s="90" t="s">
        <v>395</v>
      </c>
      <c r="D34" s="2"/>
      <c r="E34" s="1" t="s">
        <v>359</v>
      </c>
      <c r="F34" s="1"/>
      <c r="G34" s="1"/>
      <c r="H34" s="13"/>
      <c r="I34" s="13"/>
      <c r="J34" s="13"/>
      <c r="K34" s="13" t="e">
        <f t="shared" si="0"/>
        <v>#DIV/0!</v>
      </c>
      <c r="L34" s="13" t="e">
        <f t="shared" si="1"/>
        <v>#DIV/0!</v>
      </c>
      <c r="M34" s="13"/>
    </row>
    <row r="35" spans="3:13" x14ac:dyDescent="0.2">
      <c r="C35" s="91"/>
      <c r="D35" s="2"/>
      <c r="E35" s="1" t="s">
        <v>240</v>
      </c>
      <c r="F35" s="1">
        <v>1</v>
      </c>
      <c r="G35" s="1" t="s">
        <v>310</v>
      </c>
      <c r="H35" s="13">
        <v>20</v>
      </c>
      <c r="I35" s="13">
        <v>1</v>
      </c>
      <c r="J35" s="13"/>
      <c r="K35" s="13">
        <f t="shared" si="0"/>
        <v>1</v>
      </c>
      <c r="L35" s="13">
        <f t="shared" si="1"/>
        <v>20</v>
      </c>
      <c r="M35" s="13"/>
    </row>
    <row r="36" spans="3:13" x14ac:dyDescent="0.2">
      <c r="C36" s="92"/>
      <c r="D36" s="2"/>
      <c r="E36" s="1" t="s">
        <v>360</v>
      </c>
      <c r="F36" s="1">
        <v>1</v>
      </c>
      <c r="G36" s="1" t="s">
        <v>239</v>
      </c>
      <c r="H36" s="13"/>
      <c r="I36" s="13"/>
      <c r="J36" s="13"/>
      <c r="K36" s="13">
        <f t="shared" si="0"/>
        <v>0</v>
      </c>
      <c r="L36" s="13">
        <f t="shared" si="1"/>
        <v>0</v>
      </c>
      <c r="M36" s="13"/>
    </row>
    <row r="37" spans="3:13" x14ac:dyDescent="0.2">
      <c r="H37"/>
      <c r="I37"/>
      <c r="J37"/>
      <c r="K37"/>
      <c r="L37"/>
      <c r="M37"/>
    </row>
    <row r="38" spans="3:13" x14ac:dyDescent="0.2">
      <c r="H38"/>
      <c r="I38"/>
      <c r="J38"/>
      <c r="K38"/>
      <c r="L38"/>
      <c r="M38"/>
    </row>
    <row r="39" spans="3:13" x14ac:dyDescent="0.2">
      <c r="H39"/>
      <c r="I39"/>
      <c r="J39"/>
      <c r="K39"/>
      <c r="L39"/>
      <c r="M39"/>
    </row>
    <row r="40" spans="3:13" x14ac:dyDescent="0.2">
      <c r="H40"/>
      <c r="I40"/>
      <c r="J40"/>
      <c r="K40"/>
      <c r="L40"/>
      <c r="M40"/>
    </row>
    <row r="41" spans="3:13" x14ac:dyDescent="0.2">
      <c r="H41"/>
      <c r="I41"/>
      <c r="J41"/>
      <c r="K41"/>
      <c r="L41"/>
      <c r="M41"/>
    </row>
    <row r="42" spans="3:13" x14ac:dyDescent="0.2">
      <c r="H42"/>
      <c r="I42"/>
      <c r="J42"/>
      <c r="K42"/>
      <c r="L42"/>
      <c r="M42"/>
    </row>
    <row r="43" spans="3:13" x14ac:dyDescent="0.2">
      <c r="H43"/>
      <c r="I43"/>
      <c r="J43"/>
      <c r="K43"/>
      <c r="L43"/>
      <c r="M43"/>
    </row>
  </sheetData>
  <mergeCells count="22">
    <mergeCell ref="AH2:AL3"/>
    <mergeCell ref="C2:H3"/>
    <mergeCell ref="I2:M3"/>
    <mergeCell ref="O2:T3"/>
    <mergeCell ref="U2:Y3"/>
    <mergeCell ref="AB2:AG3"/>
    <mergeCell ref="C31:C33"/>
    <mergeCell ref="C34:C36"/>
    <mergeCell ref="O24:O25"/>
    <mergeCell ref="AB28:AB29"/>
    <mergeCell ref="C5:C12"/>
    <mergeCell ref="C13:C23"/>
    <mergeCell ref="O5:O10"/>
    <mergeCell ref="O11:O19"/>
    <mergeCell ref="O20:O22"/>
    <mergeCell ref="AB5:AB9"/>
    <mergeCell ref="AB10:AB19"/>
    <mergeCell ref="AB20:AB22"/>
    <mergeCell ref="AB23:AB25"/>
    <mergeCell ref="AB26:AB27"/>
    <mergeCell ref="C24:C27"/>
    <mergeCell ref="C28:C3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083cedf-2e38-4007-a4e0-b6b21b7d0168">
      <Terms xmlns="http://schemas.microsoft.com/office/infopath/2007/PartnerControls"/>
    </lcf76f155ced4ddcb4097134ff3c332f>
    <TaxCatchAll xmlns="4a0111ad-e6cf-4526-9950-5f1aa83e9f1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1FC8C850EE039043A83E5F21634A0158" ma:contentTypeVersion="12" ma:contentTypeDescription="Crear nuevo documento." ma:contentTypeScope="" ma:versionID="6bab95a3c05580e386521d48db3bcde5">
  <xsd:schema xmlns:xsd="http://www.w3.org/2001/XMLSchema" xmlns:xs="http://www.w3.org/2001/XMLSchema" xmlns:p="http://schemas.microsoft.com/office/2006/metadata/properties" xmlns:ns2="2083cedf-2e38-4007-a4e0-b6b21b7d0168" xmlns:ns3="4a0111ad-e6cf-4526-9950-5f1aa83e9f1a" targetNamespace="http://schemas.microsoft.com/office/2006/metadata/properties" ma:root="true" ma:fieldsID="039f46e39816258579da82509326ba6d" ns2:_="" ns3:_="">
    <xsd:import namespace="2083cedf-2e38-4007-a4e0-b6b21b7d0168"/>
    <xsd:import namespace="4a0111ad-e6cf-4526-9950-5f1aa83e9f1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83cedf-2e38-4007-a4e0-b6b21b7d016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aef40d5-b715-412d-bec7-270c5812204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a0111ad-e6cf-4526-9950-5f1aa83e9f1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c60e88c-b85e-4629-aede-884aa6e98378}" ma:internalName="TaxCatchAll" ma:showField="CatchAllData" ma:web="4a0111ad-e6cf-4526-9950-5f1aa83e9f1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6A1A10C-1584-4E75-91AD-D2038FBFFC3C}">
  <ds:schemaRefs>
    <ds:schemaRef ds:uri="2083cedf-2e38-4007-a4e0-b6b21b7d0168"/>
    <ds:schemaRef ds:uri="http://schemas.microsoft.com/office/2006/documentManagement/types"/>
    <ds:schemaRef ds:uri="http://purl.org/dc/elements/1.1/"/>
    <ds:schemaRef ds:uri="http://www.w3.org/XML/1998/namespace"/>
    <ds:schemaRef ds:uri="http://purl.org/dc/dcmitype/"/>
    <ds:schemaRef ds:uri="http://schemas.microsoft.com/office/infopath/2007/PartnerControls"/>
    <ds:schemaRef ds:uri="http://schemas.openxmlformats.org/package/2006/metadata/core-properties"/>
    <ds:schemaRef ds:uri="4a0111ad-e6cf-4526-9950-5f1aa83e9f1a"/>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7AADDD49-5DE6-41F4-9BEF-9C6E8B6C89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83cedf-2e38-4007-a4e0-b6b21b7d0168"/>
    <ds:schemaRef ds:uri="4a0111ad-e6cf-4526-9950-5f1aa83e9f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3BF2915-C173-4DD7-894E-36D4F6FF7C9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12</vt:i4>
      </vt:variant>
    </vt:vector>
  </HeadingPairs>
  <TitlesOfParts>
    <vt:vector size="12" baseType="lpstr">
      <vt:lpstr>Duplicada</vt:lpstr>
      <vt:lpstr>Diccionario de datos</vt:lpstr>
      <vt:lpstr>Información sociodemografica</vt:lpstr>
      <vt:lpstr>Gramaje</vt:lpstr>
      <vt:lpstr>GABAS</vt:lpstr>
      <vt:lpstr>GABAS_Referencias</vt:lpstr>
      <vt:lpstr>RIEN</vt:lpstr>
      <vt:lpstr>equiv_table_GABAS</vt:lpstr>
      <vt:lpstr>Puntaje Dietas</vt:lpstr>
      <vt:lpstr>Taller EAFIT</vt:lpstr>
      <vt:lpstr>Taller Guarne</vt:lpstr>
      <vt:lpstr>Taller Santa Rosa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Ana Herazo</dc:creator>
  <cp:keywords/>
  <dc:description/>
  <cp:lastModifiedBy>Juan Carlos Muñoz Mora</cp:lastModifiedBy>
  <cp:revision/>
  <dcterms:created xsi:type="dcterms:W3CDTF">2024-05-16T19:33:55Z</dcterms:created>
  <dcterms:modified xsi:type="dcterms:W3CDTF">2024-11-19T21:38:13Z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0x0101001FC8C850EE039043A83E5F21634A0158</vt:lpwstr>
  </property>
  <property fmtid="{D5CDD505-2E9C-101B-9397-08002B2CF9AE}" pid="3" name="MediaServiceImageTags">
    <vt:lpwstr/>
  </property>
</Properties>
</file>